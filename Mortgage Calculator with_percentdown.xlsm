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rsoy\Desktop\datasheets, pdfs old data\"/>
    </mc:Choice>
  </mc:AlternateContent>
  <bookViews>
    <workbookView xWindow="240" yWindow="60" windowWidth="16272" windowHeight="9528"/>
  </bookViews>
  <sheets>
    <sheet name="Mortgage_Calculator" sheetId="1" r:id="rId1"/>
    <sheet name="Sheet2" sheetId="2" state="hidden" r:id="rId2"/>
    <sheet name="Sheet3" sheetId="3" state="hidden" r:id="rId3"/>
  </sheets>
  <calcPr calcId="152511"/>
</workbook>
</file>

<file path=xl/calcChain.xml><?xml version="1.0" encoding="utf-8"?>
<calcChain xmlns="http://schemas.openxmlformats.org/spreadsheetml/2006/main">
  <c r="G6" i="1" l="1"/>
  <c r="B3" i="1"/>
  <c r="E4" i="1"/>
  <c r="E5" i="1" s="1"/>
  <c r="B7" i="1"/>
  <c r="G8" i="1" s="1"/>
  <c r="E6" i="1" l="1"/>
  <c r="E8" i="1" s="1"/>
  <c r="E7" i="1" s="1"/>
  <c r="H6" i="1" l="1"/>
  <c r="E3" i="1"/>
</calcChain>
</file>

<file path=xl/sharedStrings.xml><?xml version="1.0" encoding="utf-8"?>
<sst xmlns="http://schemas.openxmlformats.org/spreadsheetml/2006/main" count="26" uniqueCount="26">
  <si>
    <t>Loan Amount:</t>
  </si>
  <si>
    <t>Nominal Interest Rate:</t>
  </si>
  <si>
    <t>Future Value:</t>
  </si>
  <si>
    <t>Times compounded /yr:</t>
  </si>
  <si>
    <t>Number of Years:</t>
  </si>
  <si>
    <t>Total Paid:</t>
  </si>
  <si>
    <t>Mortgage Calculator</t>
  </si>
  <si>
    <t>by Kevin Ersoy</t>
  </si>
  <si>
    <t>Payment Details</t>
  </si>
  <si>
    <t>Month</t>
  </si>
  <si>
    <t>To Interest</t>
  </si>
  <si>
    <t>To Principal</t>
  </si>
  <si>
    <t>Interest to Date</t>
  </si>
  <si>
    <t>Balance After</t>
  </si>
  <si>
    <t>Effective APR:</t>
  </si>
  <si>
    <t>Total Interest Paid:</t>
  </si>
  <si>
    <t>Effective MPR:</t>
  </si>
  <si>
    <t>Monthly Payment:</t>
  </si>
  <si>
    <t>Home Value</t>
  </si>
  <si>
    <t>Mortgage Ins.</t>
  </si>
  <si>
    <t>Down Payment:</t>
  </si>
  <si>
    <t>20% equity</t>
  </si>
  <si>
    <t>Property Tax</t>
  </si>
  <si>
    <t>Total Payment:</t>
  </si>
  <si>
    <t>Extra Amount/Month:</t>
  </si>
  <si>
    <t>%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</si>
</sst>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164" formatCode="&quot;$&quot;#,##0.00"/>
    <numFmt numFmtId="165" formatCode="0.000%"/>
    <numFmt numFmtId="166" formatCode="0.0000%"/>
    <numFmt numFmtId="167" formatCode="0.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6C8FF"/>
        <bgColor indexed="64"/>
      </patternFill>
    </fill>
    <fill>
      <patternFill patternType="solid">
        <fgColor rgb="FFC0F8C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8" fontId="0" fillId="0" borderId="0" xfId="0" applyNumberFormat="1"/>
    <xf numFmtId="8" fontId="0" fillId="3" borderId="1" xfId="0" applyNumberFormat="1" applyFill="1" applyBorder="1" applyAlignment="1">
      <alignment horizontal="right"/>
    </xf>
    <xf numFmtId="165" fontId="0" fillId="0" borderId="1" xfId="1" applyNumberFormat="1" applyFont="1" applyBorder="1"/>
    <xf numFmtId="0" fontId="0" fillId="0" borderId="1" xfId="0" applyBorder="1"/>
    <xf numFmtId="0" fontId="0" fillId="4" borderId="1" xfId="0" applyFill="1" applyBorder="1" applyAlignment="1">
      <alignment horizontal="right"/>
    </xf>
    <xf numFmtId="8" fontId="0" fillId="0" borderId="1" xfId="0" applyNumberFormat="1" applyBorder="1"/>
    <xf numFmtId="166" fontId="0" fillId="0" borderId="1" xfId="0" applyNumberFormat="1" applyBorder="1"/>
    <xf numFmtId="8" fontId="0" fillId="3" borderId="2" xfId="0" applyNumberFormat="1" applyFill="1" applyBorder="1" applyAlignment="1">
      <alignment horizontal="right"/>
    </xf>
    <xf numFmtId="164" fontId="0" fillId="0" borderId="2" xfId="0" applyNumberFormat="1" applyBorder="1"/>
    <xf numFmtId="0" fontId="0" fillId="4" borderId="2" xfId="0" applyFill="1" applyBorder="1" applyAlignment="1">
      <alignment horizontal="right"/>
    </xf>
    <xf numFmtId="8" fontId="0" fillId="0" borderId="2" xfId="0" applyNumberFormat="1" applyBorder="1"/>
    <xf numFmtId="8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0" xfId="0" applyNumberFormat="1"/>
    <xf numFmtId="0" fontId="2" fillId="0" borderId="2" xfId="0" applyNumberFormat="1" applyFont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0" fillId="5" borderId="0" xfId="0" applyFill="1"/>
    <xf numFmtId="7" fontId="0" fillId="5" borderId="0" xfId="0" applyNumberFormat="1" applyFill="1"/>
    <xf numFmtId="0" fontId="0" fillId="5" borderId="0" xfId="0" applyNumberFormat="1" applyFill="1"/>
    <xf numFmtId="0" fontId="0" fillId="6" borderId="0" xfId="0" applyFill="1"/>
    <xf numFmtId="7" fontId="0" fillId="6" borderId="0" xfId="0" applyNumberFormat="1" applyFill="1"/>
    <xf numFmtId="0" fontId="0" fillId="6" borderId="0" xfId="0" applyNumberFormat="1" applyFill="1"/>
    <xf numFmtId="6" fontId="0" fillId="0" borderId="1" xfId="0" applyNumberFormat="1" applyBorder="1"/>
    <xf numFmtId="164" fontId="0" fillId="0" borderId="1" xfId="0" applyNumberFormat="1" applyBorder="1"/>
    <xf numFmtId="0" fontId="0" fillId="7" borderId="1" xfId="0" applyFill="1" applyBorder="1"/>
    <xf numFmtId="167" fontId="0" fillId="7" borderId="1" xfId="0" applyNumberFormat="1" applyFill="1" applyBorder="1"/>
    <xf numFmtId="167" fontId="0" fillId="8" borderId="11" xfId="0" applyNumberFormat="1" applyFill="1" applyBorder="1"/>
    <xf numFmtId="8" fontId="0" fillId="9" borderId="10" xfId="0" applyNumberFormat="1" applyFill="1" applyBorder="1"/>
    <xf numFmtId="164" fontId="0" fillId="0" borderId="9" xfId="0" applyNumberFormat="1" applyBorder="1"/>
    <xf numFmtId="7" fontId="0" fillId="0" borderId="0" xfId="0" applyNumberFormat="1"/>
    <xf numFmtId="0" fontId="0" fillId="10" borderId="1" xfId="0" applyFill="1" applyBorder="1"/>
    <xf numFmtId="9" fontId="0" fillId="0" borderId="1" xfId="1" applyFont="1" applyBorder="1"/>
    <xf numFmtId="0" fontId="2" fillId="0" borderId="0" xfId="0" applyFont="1" applyAlignment="1">
      <alignment horizontal="center"/>
    </xf>
    <xf numFmtId="8" fontId="3" fillId="2" borderId="3" xfId="0" applyNumberFormat="1" applyFont="1" applyFill="1" applyBorder="1" applyAlignment="1">
      <alignment horizontal="center"/>
    </xf>
    <xf numFmtId="8" fontId="3" fillId="2" borderId="4" xfId="0" applyNumberFormat="1" applyFont="1" applyFill="1" applyBorder="1" applyAlignment="1">
      <alignment horizontal="center"/>
    </xf>
    <xf numFmtId="8" fontId="3" fillId="2" borderId="5" xfId="0" applyNumberFormat="1" applyFont="1" applyFill="1" applyBorder="1" applyAlignment="1">
      <alignment horizontal="center"/>
    </xf>
    <xf numFmtId="8" fontId="3" fillId="2" borderId="6" xfId="0" applyNumberFormat="1" applyFont="1" applyFill="1" applyBorder="1" applyAlignment="1">
      <alignment horizontal="center"/>
    </xf>
    <xf numFmtId="8" fontId="3" fillId="2" borderId="7" xfId="0" applyNumberFormat="1" applyFont="1" applyFill="1" applyBorder="1" applyAlignment="1">
      <alignment horizontal="center"/>
    </xf>
    <xf numFmtId="8" fontId="3" fillId="2" borderId="8" xfId="0" applyNumberFormat="1" applyFont="1" applyFill="1" applyBorder="1" applyAlignment="1">
      <alignment horizontal="center"/>
    </xf>
    <xf numFmtId="8" fontId="4" fillId="0" borderId="7" xfId="0" applyNumberFormat="1" applyFont="1" applyBorder="1" applyAlignment="1">
      <alignment horizontal="center"/>
    </xf>
    <xf numFmtId="8" fontId="0" fillId="0" borderId="7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152400</xdr:rowOff>
        </xdr:from>
        <xdr:to>
          <xdr:col>7</xdr:col>
          <xdr:colOff>487680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 Details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7"/>
  <sheetViews>
    <sheetView tabSelected="1" workbookViewId="0">
      <selection activeCell="K5" sqref="K5"/>
    </sheetView>
  </sheetViews>
  <sheetFormatPr defaultRowHeight="14.4" x14ac:dyDescent="0.3"/>
  <cols>
    <col min="1" max="1" width="21.88671875" customWidth="1"/>
    <col min="2" max="2" width="15" customWidth="1"/>
    <col min="3" max="3" width="17.44140625" style="14" customWidth="1"/>
    <col min="4" max="4" width="21.5546875" customWidth="1"/>
    <col min="5" max="5" width="15.109375" customWidth="1"/>
    <col min="7" max="7" width="14.44140625" bestFit="1" customWidth="1"/>
    <col min="8" max="8" width="17" customWidth="1"/>
    <col min="9" max="9" width="12.88671875" customWidth="1"/>
  </cols>
  <sheetData>
    <row r="1" spans="1:9" ht="18" customHeight="1" x14ac:dyDescent="0.3">
      <c r="A1" s="35" t="s">
        <v>6</v>
      </c>
      <c r="B1" s="36"/>
      <c r="C1" s="36"/>
      <c r="D1" s="36"/>
      <c r="E1" s="37"/>
      <c r="F1" s="34" t="s">
        <v>7</v>
      </c>
      <c r="G1" s="34"/>
    </row>
    <row r="2" spans="1:9" ht="15" customHeight="1" thickBot="1" x14ac:dyDescent="0.35">
      <c r="A2" s="38"/>
      <c r="B2" s="39"/>
      <c r="C2" s="39"/>
      <c r="D2" s="39"/>
      <c r="E2" s="40"/>
      <c r="F2" s="34"/>
      <c r="G2" s="34"/>
    </row>
    <row r="3" spans="1:9" ht="15" thickTop="1" x14ac:dyDescent="0.3">
      <c r="A3" s="8" t="s">
        <v>0</v>
      </c>
      <c r="B3" s="9">
        <f>(1-H4)*G4</f>
        <v>320000</v>
      </c>
      <c r="D3" s="10" t="s">
        <v>2</v>
      </c>
      <c r="E3" s="11">
        <f>FV(E4/12,B6*12,-E6)</f>
        <v>845252.78369451268</v>
      </c>
      <c r="G3" s="26" t="s">
        <v>18</v>
      </c>
      <c r="H3" s="32" t="s">
        <v>25</v>
      </c>
    </row>
    <row r="4" spans="1:9" x14ac:dyDescent="0.3">
      <c r="A4" s="2" t="s">
        <v>1</v>
      </c>
      <c r="B4" s="3">
        <v>3.7499999999999999E-2</v>
      </c>
      <c r="D4" s="5" t="s">
        <v>14</v>
      </c>
      <c r="E4" s="7">
        <f>EFFECT(B4,B5)</f>
        <v>3.8151292560963945E-2</v>
      </c>
      <c r="G4" s="25">
        <v>400000</v>
      </c>
      <c r="H4" s="33">
        <v>0.2</v>
      </c>
    </row>
    <row r="5" spans="1:9" ht="15" thickBot="1" x14ac:dyDescent="0.35">
      <c r="A5" s="2" t="s">
        <v>3</v>
      </c>
      <c r="B5" s="4">
        <v>12</v>
      </c>
      <c r="D5" s="5" t="s">
        <v>16</v>
      </c>
      <c r="E5" s="7">
        <f>E4/12</f>
        <v>3.1792743800803289E-3</v>
      </c>
      <c r="F5" s="16"/>
      <c r="G5" s="27" t="s">
        <v>22</v>
      </c>
      <c r="H5" s="28" t="s">
        <v>23</v>
      </c>
    </row>
    <row r="6" spans="1:9" ht="15" thickBot="1" x14ac:dyDescent="0.35">
      <c r="A6" s="2" t="s">
        <v>4</v>
      </c>
      <c r="B6" s="4">
        <v>25.5</v>
      </c>
      <c r="D6" s="5" t="s">
        <v>17</v>
      </c>
      <c r="E6" s="6">
        <f>-PMT(E5,B6*12,B3)</f>
        <v>1637.1792650325415</v>
      </c>
      <c r="G6" s="30">
        <f>0.016*G4/12</f>
        <v>533.33333333333337</v>
      </c>
      <c r="H6" s="29">
        <f>G6+E6+G8</f>
        <v>2170.512598365875</v>
      </c>
    </row>
    <row r="7" spans="1:9" ht="15" thickTop="1" x14ac:dyDescent="0.3">
      <c r="A7" s="2" t="s">
        <v>20</v>
      </c>
      <c r="B7" s="24">
        <f>G4*H4</f>
        <v>80000</v>
      </c>
      <c r="D7" s="5" t="s">
        <v>15</v>
      </c>
      <c r="E7" s="6">
        <f>E8-B3</f>
        <v>180976.85509995767</v>
      </c>
      <c r="G7" s="26" t="s">
        <v>19</v>
      </c>
    </row>
    <row r="8" spans="1:9" x14ac:dyDescent="0.3">
      <c r="A8" s="2" t="s">
        <v>24</v>
      </c>
      <c r="B8" s="24">
        <v>0</v>
      </c>
      <c r="D8" s="5" t="s">
        <v>5</v>
      </c>
      <c r="E8" s="6">
        <f>E6*B6*12</f>
        <v>500976.85509995767</v>
      </c>
      <c r="G8" s="25">
        <f>IF(B7&gt;=(0.2*G4),0,0.5827*B3/1000)</f>
        <v>0</v>
      </c>
    </row>
    <row r="9" spans="1:9" x14ac:dyDescent="0.3">
      <c r="A9" s="1"/>
    </row>
    <row r="10" spans="1:9" ht="21.75" customHeight="1" thickBot="1" x14ac:dyDescent="0.5">
      <c r="A10" s="41" t="s">
        <v>8</v>
      </c>
      <c r="B10" s="42"/>
      <c r="C10" s="42"/>
      <c r="D10" s="42"/>
      <c r="E10" s="42"/>
    </row>
    <row r="11" spans="1:9" ht="15" thickTop="1" x14ac:dyDescent="0.3">
      <c r="A11" s="12" t="s">
        <v>9</v>
      </c>
      <c r="B11" s="13" t="s">
        <v>13</v>
      </c>
      <c r="C11" s="15" t="s">
        <v>10</v>
      </c>
      <c r="D11" s="13" t="s">
        <v>11</v>
      </c>
      <c r="E11" s="13" t="s">
        <v>12</v>
      </c>
    </row>
    <row r="12" spans="1:9" x14ac:dyDescent="0.3">
      <c r="A12" s="18">
        <v>1</v>
      </c>
      <c r="B12" s="19">
        <v>319367.95</v>
      </c>
      <c r="C12" s="20">
        <v>981.78762687081655</v>
      </c>
      <c r="D12" s="19">
        <v>632.04999999999995</v>
      </c>
      <c r="E12" s="18">
        <v>981.78762687081655</v>
      </c>
      <c r="G12" t="s">
        <v>21</v>
      </c>
    </row>
    <row r="13" spans="1:9" x14ac:dyDescent="0.3">
      <c r="A13" s="18">
        <v>2</v>
      </c>
      <c r="B13" s="19">
        <v>318733.96000000002</v>
      </c>
      <c r="C13" s="20">
        <v>979.84844290343005</v>
      </c>
      <c r="D13" s="19">
        <v>633.99</v>
      </c>
      <c r="E13" s="18">
        <v>1961.6360697742466</v>
      </c>
    </row>
    <row r="14" spans="1:9" x14ac:dyDescent="0.3">
      <c r="A14" s="18">
        <v>3</v>
      </c>
      <c r="B14" s="19">
        <v>318098.02</v>
      </c>
      <c r="C14" s="20">
        <v>977.90330684855553</v>
      </c>
      <c r="D14" s="19">
        <v>635.94000000000005</v>
      </c>
      <c r="E14" s="18">
        <v>2939.5393766228021</v>
      </c>
    </row>
    <row r="15" spans="1:9" x14ac:dyDescent="0.3">
      <c r="A15" s="18">
        <v>4</v>
      </c>
      <c r="B15" s="19">
        <v>317460.13</v>
      </c>
      <c r="C15" s="20">
        <v>975.95218802532986</v>
      </c>
      <c r="D15" s="19">
        <v>637.89</v>
      </c>
      <c r="E15" s="18">
        <v>3915.4915646481322</v>
      </c>
    </row>
    <row r="16" spans="1:9" x14ac:dyDescent="0.3">
      <c r="A16" s="18">
        <v>5</v>
      </c>
      <c r="B16" s="19">
        <v>316820.28000000003</v>
      </c>
      <c r="C16" s="20">
        <v>973.99508643375293</v>
      </c>
      <c r="D16" s="19">
        <v>639.85</v>
      </c>
      <c r="E16" s="18">
        <v>4889.4866510818847</v>
      </c>
      <c r="I16" s="17"/>
    </row>
    <row r="17" spans="1:5" x14ac:dyDescent="0.3">
      <c r="A17" s="18">
        <v>6</v>
      </c>
      <c r="B17" s="19">
        <v>316178.46999999997</v>
      </c>
      <c r="C17" s="20">
        <v>972.0319713929614</v>
      </c>
      <c r="D17" s="19">
        <v>641.80999999999995</v>
      </c>
      <c r="E17" s="18">
        <v>5861.5186224748459</v>
      </c>
    </row>
    <row r="18" spans="1:5" x14ac:dyDescent="0.3">
      <c r="A18" s="18">
        <v>7</v>
      </c>
      <c r="B18" s="19">
        <v>315534.69</v>
      </c>
      <c r="C18" s="20">
        <v>970.06284290295525</v>
      </c>
      <c r="D18" s="19">
        <v>643.78</v>
      </c>
      <c r="E18" s="18">
        <v>6831.5814653778016</v>
      </c>
    </row>
    <row r="19" spans="1:5" x14ac:dyDescent="0.3">
      <c r="A19" s="18">
        <v>8</v>
      </c>
      <c r="B19" s="19">
        <v>314888.94</v>
      </c>
      <c r="C19" s="20">
        <v>968.08767028287116</v>
      </c>
      <c r="D19" s="19">
        <v>645.75</v>
      </c>
      <c r="E19" s="18">
        <v>7799.6691356606725</v>
      </c>
    </row>
    <row r="20" spans="1:5" x14ac:dyDescent="0.3">
      <c r="A20" s="18">
        <v>9</v>
      </c>
      <c r="B20" s="19">
        <v>314241.2</v>
      </c>
      <c r="C20" s="20">
        <v>966.10645353270922</v>
      </c>
      <c r="D20" s="19">
        <v>647.74</v>
      </c>
      <c r="E20" s="18">
        <v>8765.7755891933812</v>
      </c>
    </row>
    <row r="21" spans="1:5" x14ac:dyDescent="0.3">
      <c r="A21" s="18">
        <v>10</v>
      </c>
      <c r="B21" s="19">
        <v>313591.48</v>
      </c>
      <c r="C21" s="20">
        <v>964.11913129074264</v>
      </c>
      <c r="D21" s="19">
        <v>649.72</v>
      </c>
      <c r="E21" s="18">
        <v>9729.8947204841243</v>
      </c>
    </row>
    <row r="22" spans="1:5" x14ac:dyDescent="0.3">
      <c r="A22" s="18">
        <v>11</v>
      </c>
      <c r="B22" s="19">
        <v>312939.76</v>
      </c>
      <c r="C22" s="20">
        <v>962.12573423783476</v>
      </c>
      <c r="D22" s="19">
        <v>651.72</v>
      </c>
      <c r="E22" s="18">
        <v>10692.020454721958</v>
      </c>
    </row>
    <row r="23" spans="1:5" x14ac:dyDescent="0.3">
      <c r="A23" s="18">
        <v>12</v>
      </c>
      <c r="B23" s="19">
        <v>312286.03999999998</v>
      </c>
      <c r="C23" s="20">
        <v>960.126201012259</v>
      </c>
      <c r="D23" s="19">
        <v>653.72</v>
      </c>
      <c r="E23" s="18">
        <v>11652.146655734217</v>
      </c>
    </row>
    <row r="24" spans="1:5" x14ac:dyDescent="0.3">
      <c r="A24" s="21">
        <v>13</v>
      </c>
      <c r="B24" s="22">
        <v>311630.32</v>
      </c>
      <c r="C24" s="23">
        <v>958.12053161401536</v>
      </c>
      <c r="D24" s="22">
        <v>655.72</v>
      </c>
      <c r="E24" s="21">
        <v>12610.267187348232</v>
      </c>
    </row>
    <row r="25" spans="1:5" x14ac:dyDescent="0.3">
      <c r="A25" s="21">
        <v>14</v>
      </c>
      <c r="B25" s="22">
        <v>310972.59000000003</v>
      </c>
      <c r="C25" s="23">
        <v>956.10872604310362</v>
      </c>
      <c r="D25" s="22">
        <v>657.73</v>
      </c>
      <c r="E25" s="21">
        <v>13566.375913391335</v>
      </c>
    </row>
    <row r="26" spans="1:5" x14ac:dyDescent="0.3">
      <c r="A26" s="21">
        <v>15</v>
      </c>
      <c r="B26" s="22">
        <v>310312.84000000003</v>
      </c>
      <c r="C26" s="23">
        <v>954.09075361866076</v>
      </c>
      <c r="D26" s="22">
        <v>659.75</v>
      </c>
      <c r="E26" s="21">
        <v>14520.466667009996</v>
      </c>
    </row>
    <row r="27" spans="1:5" x14ac:dyDescent="0.3">
      <c r="A27" s="21">
        <v>16</v>
      </c>
      <c r="B27" s="22">
        <v>309651.06</v>
      </c>
      <c r="C27" s="23">
        <v>952.0665836598231</v>
      </c>
      <c r="D27" s="22">
        <v>661.78</v>
      </c>
      <c r="E27" s="21">
        <v>15472.53325066982</v>
      </c>
    </row>
    <row r="28" spans="1:5" x14ac:dyDescent="0.3">
      <c r="A28" s="21">
        <v>17</v>
      </c>
      <c r="B28" s="22">
        <v>308987.25</v>
      </c>
      <c r="C28" s="23">
        <v>950.03618548572763</v>
      </c>
      <c r="D28" s="22">
        <v>663.81</v>
      </c>
      <c r="E28" s="21">
        <v>16422.569436155547</v>
      </c>
    </row>
    <row r="29" spans="1:5" x14ac:dyDescent="0.3">
      <c r="A29" s="21">
        <v>18</v>
      </c>
      <c r="B29" s="22">
        <v>308321.40999999997</v>
      </c>
      <c r="C29" s="23">
        <v>947.99955909637413</v>
      </c>
      <c r="D29" s="22">
        <v>665.84</v>
      </c>
      <c r="E29" s="21">
        <v>17370.568995251921</v>
      </c>
    </row>
    <row r="30" spans="1:5" x14ac:dyDescent="0.3">
      <c r="A30" s="21">
        <v>19</v>
      </c>
      <c r="B30" s="22">
        <v>307653.52</v>
      </c>
      <c r="C30" s="23">
        <v>945.95670449176271</v>
      </c>
      <c r="D30" s="22">
        <v>667.89</v>
      </c>
      <c r="E30" s="21">
        <v>18316.525699743685</v>
      </c>
    </row>
    <row r="31" spans="1:5" x14ac:dyDescent="0.3">
      <c r="A31" s="21">
        <v>20</v>
      </c>
      <c r="B31" s="22">
        <v>306983.59000000003</v>
      </c>
      <c r="C31" s="23">
        <v>943.90756031016656</v>
      </c>
      <c r="D31" s="22">
        <v>669.93</v>
      </c>
      <c r="E31" s="21">
        <v>19260.433260053851</v>
      </c>
    </row>
    <row r="32" spans="1:5" x14ac:dyDescent="0.3">
      <c r="A32" s="21">
        <v>21</v>
      </c>
      <c r="B32" s="22">
        <v>306311.59999999998</v>
      </c>
      <c r="C32" s="23">
        <v>941.85215723244914</v>
      </c>
      <c r="D32" s="22">
        <v>671.99</v>
      </c>
      <c r="E32" s="21">
        <v>20202.285417286301</v>
      </c>
    </row>
    <row r="33" spans="1:5" x14ac:dyDescent="0.3">
      <c r="A33" s="21">
        <v>22</v>
      </c>
      <c r="B33" s="22">
        <v>305637.55</v>
      </c>
      <c r="C33" s="23">
        <v>939.79043389688377</v>
      </c>
      <c r="D33" s="22">
        <v>674.05</v>
      </c>
      <c r="E33" s="21">
        <v>21142.075851183185</v>
      </c>
    </row>
    <row r="34" spans="1:5" x14ac:dyDescent="0.3">
      <c r="A34" s="21">
        <v>23</v>
      </c>
      <c r="B34" s="22">
        <v>304961.43</v>
      </c>
      <c r="C34" s="23">
        <v>937.72239030347043</v>
      </c>
      <c r="D34" s="22">
        <v>676.12</v>
      </c>
      <c r="E34" s="21">
        <v>22079.798241486656</v>
      </c>
    </row>
    <row r="35" spans="1:5" x14ac:dyDescent="0.3">
      <c r="A35" s="21">
        <v>24</v>
      </c>
      <c r="B35" s="22">
        <v>304283.24</v>
      </c>
      <c r="C35" s="23">
        <v>935.64799577134579</v>
      </c>
      <c r="D35" s="22">
        <v>678.19</v>
      </c>
      <c r="E35" s="21">
        <v>23015.446237258002</v>
      </c>
    </row>
    <row r="36" spans="1:5" x14ac:dyDescent="0.3">
      <c r="A36" s="18">
        <v>25</v>
      </c>
      <c r="B36" s="19">
        <v>303602.96000000002</v>
      </c>
      <c r="C36" s="20">
        <v>933.56725030050984</v>
      </c>
      <c r="D36" s="19">
        <v>680.28</v>
      </c>
      <c r="E36" s="18">
        <v>23949.013487558514</v>
      </c>
    </row>
    <row r="37" spans="1:5" x14ac:dyDescent="0.3">
      <c r="A37" s="18">
        <v>26</v>
      </c>
      <c r="B37" s="19">
        <v>302920.59999999998</v>
      </c>
      <c r="C37" s="20">
        <v>931.48009252923578</v>
      </c>
      <c r="D37" s="19">
        <v>682.36</v>
      </c>
      <c r="E37" s="18">
        <v>24880.49358008775</v>
      </c>
    </row>
    <row r="38" spans="1:5" x14ac:dyDescent="0.3">
      <c r="A38" s="18">
        <v>27</v>
      </c>
      <c r="B38" s="19">
        <v>302236.14</v>
      </c>
      <c r="C38" s="20">
        <v>929.38655313838717</v>
      </c>
      <c r="D38" s="19">
        <v>684.46</v>
      </c>
      <c r="E38" s="18">
        <v>25809.880133226136</v>
      </c>
    </row>
    <row r="39" spans="1:5" x14ac:dyDescent="0.3">
      <c r="A39" s="18">
        <v>28</v>
      </c>
      <c r="B39" s="19">
        <v>301549.58</v>
      </c>
      <c r="C39" s="20">
        <v>927.28657076623711</v>
      </c>
      <c r="D39" s="19">
        <v>686.56</v>
      </c>
      <c r="E39" s="18">
        <v>26737.166703992374</v>
      </c>
    </row>
    <row r="40" spans="1:5" x14ac:dyDescent="0.3">
      <c r="A40" s="18">
        <v>29</v>
      </c>
      <c r="B40" s="19">
        <v>300860.92</v>
      </c>
      <c r="C40" s="20">
        <v>925.18014541278581</v>
      </c>
      <c r="D40" s="19">
        <v>688.66</v>
      </c>
      <c r="E40" s="18">
        <v>27662.346849405159</v>
      </c>
    </row>
    <row r="41" spans="1:5" x14ac:dyDescent="0.3">
      <c r="A41" s="18">
        <v>30</v>
      </c>
      <c r="B41" s="19">
        <v>300170.14</v>
      </c>
      <c r="C41" s="20">
        <v>923.06727707803316</v>
      </c>
      <c r="D41" s="19">
        <v>690.78</v>
      </c>
      <c r="E41" s="18">
        <v>28585.414126483192</v>
      </c>
    </row>
    <row r="42" spans="1:5" x14ac:dyDescent="0.3">
      <c r="A42" s="18">
        <v>31</v>
      </c>
      <c r="B42" s="19">
        <v>299477.25</v>
      </c>
      <c r="C42" s="20">
        <v>920.94790440025247</v>
      </c>
      <c r="D42" s="19">
        <v>692.89</v>
      </c>
      <c r="E42" s="18">
        <v>29506.362030883443</v>
      </c>
    </row>
    <row r="43" spans="1:5" x14ac:dyDescent="0.3">
      <c r="A43" s="18">
        <v>32</v>
      </c>
      <c r="B43" s="19">
        <v>298782.23</v>
      </c>
      <c r="C43" s="20">
        <v>918.82205806030709</v>
      </c>
      <c r="D43" s="19">
        <v>695.02</v>
      </c>
      <c r="E43" s="18">
        <v>30425.184088943752</v>
      </c>
    </row>
    <row r="44" spans="1:5" x14ac:dyDescent="0.3">
      <c r="A44" s="18">
        <v>33</v>
      </c>
      <c r="B44" s="19">
        <v>298085.08</v>
      </c>
      <c r="C44" s="20">
        <v>916.68967669647031</v>
      </c>
      <c r="D44" s="19">
        <v>697.15</v>
      </c>
      <c r="E44" s="18">
        <v>31341.873765640223</v>
      </c>
    </row>
    <row r="45" spans="1:5" x14ac:dyDescent="0.3">
      <c r="A45" s="18">
        <v>34</v>
      </c>
      <c r="B45" s="19">
        <v>297385.78999999998</v>
      </c>
      <c r="C45" s="20">
        <v>914.55076030874227</v>
      </c>
      <c r="D45" s="19">
        <v>699.29</v>
      </c>
      <c r="E45" s="18">
        <v>32256.424525948965</v>
      </c>
    </row>
    <row r="46" spans="1:5" x14ac:dyDescent="0.3">
      <c r="A46" s="18">
        <v>35</v>
      </c>
      <c r="B46" s="19">
        <v>296684.34999999998</v>
      </c>
      <c r="C46" s="20">
        <v>912.40527821625938</v>
      </c>
      <c r="D46" s="19">
        <v>701.44</v>
      </c>
      <c r="E46" s="18">
        <v>33168.829804165223</v>
      </c>
    </row>
    <row r="47" spans="1:5" x14ac:dyDescent="0.3">
      <c r="A47" s="18">
        <v>36</v>
      </c>
      <c r="B47" s="19">
        <v>295980.76</v>
      </c>
      <c r="C47" s="20">
        <v>910.25319973815863</v>
      </c>
      <c r="D47" s="19">
        <v>703.59</v>
      </c>
      <c r="E47" s="18">
        <v>34079.083003903383</v>
      </c>
    </row>
    <row r="48" spans="1:5" x14ac:dyDescent="0.3">
      <c r="A48" s="21">
        <v>37</v>
      </c>
      <c r="B48" s="22">
        <v>295275.01</v>
      </c>
      <c r="C48" s="23">
        <v>908.09452487443968</v>
      </c>
      <c r="D48" s="22">
        <v>705.75</v>
      </c>
      <c r="E48" s="21">
        <v>34987.177528777822</v>
      </c>
    </row>
    <row r="49" spans="1:5" x14ac:dyDescent="0.3">
      <c r="A49" s="21">
        <v>38</v>
      </c>
      <c r="B49" s="22">
        <v>294567.09999999998</v>
      </c>
      <c r="C49" s="23">
        <v>905.92922294423954</v>
      </c>
      <c r="D49" s="22">
        <v>707.91</v>
      </c>
      <c r="E49" s="21">
        <v>35893.106751722058</v>
      </c>
    </row>
    <row r="50" spans="1:5" x14ac:dyDescent="0.3">
      <c r="A50" s="21">
        <v>39</v>
      </c>
      <c r="B50" s="22">
        <v>293857.01</v>
      </c>
      <c r="C50" s="23">
        <v>903.75729394755786</v>
      </c>
      <c r="D50" s="22">
        <v>710.09</v>
      </c>
      <c r="E50" s="21">
        <v>36796.864045669616</v>
      </c>
    </row>
    <row r="51" spans="1:5" x14ac:dyDescent="0.3">
      <c r="A51" s="21">
        <v>40</v>
      </c>
      <c r="B51" s="22">
        <v>293144.75</v>
      </c>
      <c r="C51" s="23">
        <v>901.57867652266816</v>
      </c>
      <c r="D51" s="22">
        <v>712.26</v>
      </c>
      <c r="E51" s="21">
        <v>37698.442722192282</v>
      </c>
    </row>
    <row r="52" spans="1:5" x14ac:dyDescent="0.3">
      <c r="A52" s="21">
        <v>41</v>
      </c>
      <c r="B52" s="22">
        <v>292430.3</v>
      </c>
      <c r="C52" s="23">
        <v>899.39340135043381</v>
      </c>
      <c r="D52" s="22">
        <v>714.45</v>
      </c>
      <c r="E52" s="21">
        <v>38597.836123542715</v>
      </c>
    </row>
    <row r="53" spans="1:5" x14ac:dyDescent="0.3">
      <c r="A53" s="21">
        <v>42</v>
      </c>
      <c r="B53" s="22">
        <v>291713.65999999997</v>
      </c>
      <c r="C53" s="23">
        <v>897.20140706912798</v>
      </c>
      <c r="D53" s="22">
        <v>716.64</v>
      </c>
      <c r="E53" s="21">
        <v>39495.037530611844</v>
      </c>
    </row>
    <row r="54" spans="1:5" x14ac:dyDescent="0.3">
      <c r="A54" s="21">
        <v>43</v>
      </c>
      <c r="B54" s="22">
        <v>290994.82</v>
      </c>
      <c r="C54" s="23">
        <v>895.0026936787508</v>
      </c>
      <c r="D54" s="22">
        <v>718.84</v>
      </c>
      <c r="E54" s="21">
        <v>40390.040224290598</v>
      </c>
    </row>
    <row r="55" spans="1:5" x14ac:dyDescent="0.3">
      <c r="A55" s="21">
        <v>44</v>
      </c>
      <c r="B55" s="22">
        <v>290273.77</v>
      </c>
      <c r="C55" s="23">
        <v>892.79723049843881</v>
      </c>
      <c r="D55" s="22">
        <v>721.05</v>
      </c>
      <c r="E55" s="21">
        <v>41282.837454789034</v>
      </c>
    </row>
    <row r="56" spans="1:5" x14ac:dyDescent="0.3">
      <c r="A56" s="21">
        <v>45</v>
      </c>
      <c r="B56" s="22">
        <v>289550.51</v>
      </c>
      <c r="C56" s="23">
        <v>890.58498684732888</v>
      </c>
      <c r="D56" s="22">
        <v>723.26</v>
      </c>
      <c r="E56" s="21">
        <v>42173.422441636365</v>
      </c>
    </row>
    <row r="57" spans="1:5" x14ac:dyDescent="0.3">
      <c r="A57" s="21">
        <v>46</v>
      </c>
      <c r="B57" s="22">
        <v>288825.03000000003</v>
      </c>
      <c r="C57" s="23">
        <v>888.36596272542079</v>
      </c>
      <c r="D57" s="22">
        <v>725.48</v>
      </c>
      <c r="E57" s="21">
        <v>43061.788404361789</v>
      </c>
    </row>
    <row r="58" spans="1:5" x14ac:dyDescent="0.3">
      <c r="A58" s="21">
        <v>47</v>
      </c>
      <c r="B58" s="22">
        <v>288097.33</v>
      </c>
      <c r="C58" s="23">
        <v>886.1401274518513</v>
      </c>
      <c r="D58" s="22">
        <v>727.7</v>
      </c>
      <c r="E58" s="21">
        <v>43947.928531813639</v>
      </c>
    </row>
    <row r="59" spans="1:5" x14ac:dyDescent="0.3">
      <c r="A59" s="21">
        <v>48</v>
      </c>
      <c r="B59" s="22">
        <v>287367.40000000002</v>
      </c>
      <c r="C59" s="23">
        <v>883.9074810266203</v>
      </c>
      <c r="D59" s="22">
        <v>729.93</v>
      </c>
      <c r="E59" s="21">
        <v>44831.836012840256</v>
      </c>
    </row>
    <row r="60" spans="1:5" x14ac:dyDescent="0.3">
      <c r="A60" s="18">
        <v>49</v>
      </c>
      <c r="B60" s="19">
        <v>286635.23</v>
      </c>
      <c r="C60" s="20">
        <v>881.66799276886468</v>
      </c>
      <c r="D60" s="19">
        <v>732.17</v>
      </c>
      <c r="E60" s="18">
        <v>45713.504005609124</v>
      </c>
    </row>
    <row r="61" spans="1:5" x14ac:dyDescent="0.3">
      <c r="A61" s="18">
        <v>50</v>
      </c>
      <c r="B61" s="19">
        <v>285900.81</v>
      </c>
      <c r="C61" s="20">
        <v>879.42163199772097</v>
      </c>
      <c r="D61" s="19">
        <v>734.42</v>
      </c>
      <c r="E61" s="18">
        <v>46592.925637606844</v>
      </c>
    </row>
    <row r="62" spans="1:5" x14ac:dyDescent="0.3">
      <c r="A62" s="18">
        <v>51</v>
      </c>
      <c r="B62" s="19">
        <v>285164.14</v>
      </c>
      <c r="C62" s="20">
        <v>877.1683680323257</v>
      </c>
      <c r="D62" s="19">
        <v>736.67</v>
      </c>
      <c r="E62" s="18">
        <v>47470.09400563917</v>
      </c>
    </row>
    <row r="63" spans="1:5" x14ac:dyDescent="0.3">
      <c r="A63" s="18">
        <v>52</v>
      </c>
      <c r="B63" s="19">
        <v>284425.21000000002</v>
      </c>
      <c r="C63" s="20">
        <v>874.90820087267912</v>
      </c>
      <c r="D63" s="19">
        <v>738.93</v>
      </c>
      <c r="E63" s="18">
        <v>48345.002206511846</v>
      </c>
    </row>
    <row r="64" spans="1:5" x14ac:dyDescent="0.3">
      <c r="A64" s="18">
        <v>53</v>
      </c>
      <c r="B64" s="19">
        <v>283684.01</v>
      </c>
      <c r="C64" s="20">
        <v>872.64109983791764</v>
      </c>
      <c r="D64" s="19">
        <v>741.2</v>
      </c>
      <c r="E64" s="18">
        <v>49217.643306349761</v>
      </c>
    </row>
    <row r="65" spans="1:5" x14ac:dyDescent="0.3">
      <c r="A65" s="18">
        <v>54</v>
      </c>
      <c r="B65" s="19">
        <v>282940.53000000003</v>
      </c>
      <c r="C65" s="20">
        <v>870.36703424717814</v>
      </c>
      <c r="D65" s="19">
        <v>743.48</v>
      </c>
      <c r="E65" s="18">
        <v>50088.010340596942</v>
      </c>
    </row>
    <row r="66" spans="1:5" x14ac:dyDescent="0.3">
      <c r="A66" s="18">
        <v>55</v>
      </c>
      <c r="B66" s="19">
        <v>282194.77</v>
      </c>
      <c r="C66" s="20">
        <v>868.08597341959717</v>
      </c>
      <c r="D66" s="19">
        <v>745.76</v>
      </c>
      <c r="E66" s="18">
        <v>50956.09631401654</v>
      </c>
    </row>
    <row r="67" spans="1:5" x14ac:dyDescent="0.3">
      <c r="A67" s="18">
        <v>56</v>
      </c>
      <c r="B67" s="19">
        <v>281446.73</v>
      </c>
      <c r="C67" s="20">
        <v>865.79791735517472</v>
      </c>
      <c r="D67" s="19">
        <v>748.04</v>
      </c>
      <c r="E67" s="18">
        <v>51821.894231371713</v>
      </c>
    </row>
    <row r="68" spans="1:5" x14ac:dyDescent="0.3">
      <c r="A68" s="18">
        <v>57</v>
      </c>
      <c r="B68" s="19">
        <v>280696.39</v>
      </c>
      <c r="C68" s="20">
        <v>863.50286605391079</v>
      </c>
      <c r="D68" s="19">
        <v>750.34</v>
      </c>
      <c r="E68" s="18">
        <v>52685.397097425623</v>
      </c>
    </row>
    <row r="69" spans="1:5" x14ac:dyDescent="0.3">
      <c r="A69" s="18">
        <v>58</v>
      </c>
      <c r="B69" s="19">
        <v>279943.75</v>
      </c>
      <c r="C69" s="20">
        <v>861.20075815407881</v>
      </c>
      <c r="D69" s="19">
        <v>752.64</v>
      </c>
      <c r="E69" s="18">
        <v>53546.597855579705</v>
      </c>
    </row>
    <row r="70" spans="1:5" x14ac:dyDescent="0.3">
      <c r="A70" s="18">
        <v>59</v>
      </c>
      <c r="B70" s="19">
        <v>279188.8</v>
      </c>
      <c r="C70" s="20">
        <v>858.89159365567866</v>
      </c>
      <c r="D70" s="19">
        <v>754.95</v>
      </c>
      <c r="E70" s="18">
        <v>54405.489449235385</v>
      </c>
    </row>
    <row r="71" spans="1:5" x14ac:dyDescent="0.3">
      <c r="A71" s="18">
        <v>60</v>
      </c>
      <c r="B71" s="19">
        <v>278431.53000000003</v>
      </c>
      <c r="C71" s="20">
        <v>856.57534187784699</v>
      </c>
      <c r="D71" s="19">
        <v>757.27</v>
      </c>
      <c r="E71" s="18">
        <v>55262.064791113233</v>
      </c>
    </row>
    <row r="72" spans="1:5" x14ac:dyDescent="0.3">
      <c r="A72" s="21">
        <v>61</v>
      </c>
      <c r="B72" s="22">
        <v>277671.94</v>
      </c>
      <c r="C72" s="23">
        <v>854.25197213972058</v>
      </c>
      <c r="D72" s="22">
        <v>759.59</v>
      </c>
      <c r="E72" s="21">
        <v>56116.316763252951</v>
      </c>
    </row>
    <row r="73" spans="1:5" x14ac:dyDescent="0.3">
      <c r="A73" s="21">
        <v>62</v>
      </c>
      <c r="B73" s="22">
        <v>276910.02</v>
      </c>
      <c r="C73" s="23">
        <v>851.9214844412993</v>
      </c>
      <c r="D73" s="22">
        <v>761.92</v>
      </c>
      <c r="E73" s="21">
        <v>56968.238247694251</v>
      </c>
    </row>
    <row r="74" spans="1:5" x14ac:dyDescent="0.3">
      <c r="A74" s="21">
        <v>63</v>
      </c>
      <c r="B74" s="22">
        <v>276145.76</v>
      </c>
      <c r="C74" s="23">
        <v>849.58384810171992</v>
      </c>
      <c r="D74" s="22">
        <v>764.26</v>
      </c>
      <c r="E74" s="21">
        <v>57817.822095795971</v>
      </c>
    </row>
    <row r="75" spans="1:5" x14ac:dyDescent="0.3">
      <c r="A75" s="21">
        <v>64</v>
      </c>
      <c r="B75" s="22">
        <v>275379.15999999997</v>
      </c>
      <c r="C75" s="23">
        <v>847.23903244011899</v>
      </c>
      <c r="D75" s="22">
        <v>766.6</v>
      </c>
      <c r="E75" s="21">
        <v>58665.061128236091</v>
      </c>
    </row>
    <row r="76" spans="1:5" x14ac:dyDescent="0.3">
      <c r="A76" s="21">
        <v>65</v>
      </c>
      <c r="B76" s="22">
        <v>274610.2</v>
      </c>
      <c r="C76" s="23">
        <v>844.88703745649661</v>
      </c>
      <c r="D76" s="22">
        <v>768.96</v>
      </c>
      <c r="E76" s="21">
        <v>59509.948165692585</v>
      </c>
    </row>
    <row r="77" spans="1:5" x14ac:dyDescent="0.3">
      <c r="A77" s="21">
        <v>66</v>
      </c>
      <c r="B77" s="22">
        <v>273838.89</v>
      </c>
      <c r="C77" s="23">
        <v>842.52780178912599</v>
      </c>
      <c r="D77" s="22">
        <v>771.31</v>
      </c>
      <c r="E77" s="21">
        <v>60352.475967481711</v>
      </c>
    </row>
    <row r="78" spans="1:5" x14ac:dyDescent="0.3">
      <c r="A78" s="21">
        <v>67</v>
      </c>
      <c r="B78" s="22">
        <v>273065.21000000002</v>
      </c>
      <c r="C78" s="23">
        <v>840.16135611887057</v>
      </c>
      <c r="D78" s="22">
        <v>773.68</v>
      </c>
      <c r="E78" s="21">
        <v>61192.637323600582</v>
      </c>
    </row>
    <row r="79" spans="1:5" x14ac:dyDescent="0.3">
      <c r="A79" s="21">
        <v>68</v>
      </c>
      <c r="B79" s="22">
        <v>272289.15999999997</v>
      </c>
      <c r="C79" s="23">
        <v>837.78763908400367</v>
      </c>
      <c r="D79" s="22">
        <v>776.05</v>
      </c>
      <c r="E79" s="21">
        <v>62030.424962684585</v>
      </c>
    </row>
    <row r="80" spans="1:5" x14ac:dyDescent="0.3">
      <c r="A80" s="21">
        <v>69</v>
      </c>
      <c r="B80" s="22">
        <v>271510.71999999997</v>
      </c>
      <c r="C80" s="23">
        <v>835.40665068452529</v>
      </c>
      <c r="D80" s="22">
        <v>778.44</v>
      </c>
      <c r="E80" s="21">
        <v>62865.831613369111</v>
      </c>
    </row>
    <row r="81" spans="1:5" x14ac:dyDescent="0.3">
      <c r="A81" s="21">
        <v>70</v>
      </c>
      <c r="B81" s="22">
        <v>270729.90000000002</v>
      </c>
      <c r="C81" s="23">
        <v>833.01832955870861</v>
      </c>
      <c r="D81" s="22">
        <v>780.82</v>
      </c>
      <c r="E81" s="21">
        <v>63698.849942927824</v>
      </c>
    </row>
    <row r="82" spans="1:5" x14ac:dyDescent="0.3">
      <c r="A82" s="21">
        <v>71</v>
      </c>
      <c r="B82" s="22">
        <v>269946.68</v>
      </c>
      <c r="C82" s="23">
        <v>830.62270638741711</v>
      </c>
      <c r="D82" s="22">
        <v>783.22</v>
      </c>
      <c r="E82" s="21">
        <v>64529.472649315241</v>
      </c>
    </row>
    <row r="83" spans="1:5" x14ac:dyDescent="0.3">
      <c r="A83" s="21">
        <v>72</v>
      </c>
      <c r="B83" s="22">
        <v>269161.06</v>
      </c>
      <c r="C83" s="23">
        <v>828.2197198089242</v>
      </c>
      <c r="D83" s="22">
        <v>785.62</v>
      </c>
      <c r="E83" s="21">
        <v>65357.692369124168</v>
      </c>
    </row>
    <row r="84" spans="1:5" x14ac:dyDescent="0.3">
      <c r="A84" s="18">
        <v>73</v>
      </c>
      <c r="B84" s="19">
        <v>268373.03000000003</v>
      </c>
      <c r="C84" s="20">
        <v>825.80936982322964</v>
      </c>
      <c r="D84" s="19">
        <v>788.03</v>
      </c>
      <c r="E84" s="18">
        <v>66183.501738947394</v>
      </c>
    </row>
    <row r="85" spans="1:5" x14ac:dyDescent="0.3">
      <c r="A85" s="18">
        <v>74</v>
      </c>
      <c r="B85" s="19">
        <v>267582.58</v>
      </c>
      <c r="C85" s="20">
        <v>823.39162574947022</v>
      </c>
      <c r="D85" s="19">
        <v>790.45</v>
      </c>
      <c r="E85" s="18">
        <v>67006.893364696865</v>
      </c>
    </row>
    <row r="86" spans="1:5" x14ac:dyDescent="0.3">
      <c r="A86" s="18">
        <v>75</v>
      </c>
      <c r="B86" s="19">
        <v>266789.7</v>
      </c>
      <c r="C86" s="20">
        <v>820.96645690678258</v>
      </c>
      <c r="D86" s="19">
        <v>792.88</v>
      </c>
      <c r="E86" s="18">
        <v>67827.859821603648</v>
      </c>
    </row>
    <row r="87" spans="1:5" x14ac:dyDescent="0.3">
      <c r="A87" s="18">
        <v>76</v>
      </c>
      <c r="B87" s="19">
        <v>265994.39</v>
      </c>
      <c r="C87" s="20">
        <v>818.53383261430338</v>
      </c>
      <c r="D87" s="19">
        <v>795.31</v>
      </c>
      <c r="E87" s="18">
        <v>68646.393654217958</v>
      </c>
    </row>
    <row r="88" spans="1:5" x14ac:dyDescent="0.3">
      <c r="A88" s="18">
        <v>77</v>
      </c>
      <c r="B88" s="19">
        <v>265196.64</v>
      </c>
      <c r="C88" s="20">
        <v>816.09375287203272</v>
      </c>
      <c r="D88" s="19">
        <v>797.75</v>
      </c>
      <c r="E88" s="18">
        <v>69462.487407089997</v>
      </c>
    </row>
    <row r="89" spans="1:5" x14ac:dyDescent="0.3">
      <c r="A89" s="18">
        <v>78</v>
      </c>
      <c r="B89" s="19">
        <v>264396.44</v>
      </c>
      <c r="C89" s="20">
        <v>813.64618699910704</v>
      </c>
      <c r="D89" s="19">
        <v>800.2</v>
      </c>
      <c r="E89" s="18">
        <v>70276.1335940891</v>
      </c>
    </row>
    <row r="90" spans="1:5" x14ac:dyDescent="0.3">
      <c r="A90" s="18">
        <v>79</v>
      </c>
      <c r="B90" s="19">
        <v>263593.78999999998</v>
      </c>
      <c r="C90" s="20">
        <v>811.19110431466322</v>
      </c>
      <c r="D90" s="19">
        <v>802.65</v>
      </c>
      <c r="E90" s="18">
        <v>71087.324698403769</v>
      </c>
    </row>
    <row r="91" spans="1:5" x14ac:dyDescent="0.3">
      <c r="A91" s="18">
        <v>80</v>
      </c>
      <c r="B91" s="19">
        <v>262788.68</v>
      </c>
      <c r="C91" s="20">
        <v>808.72850481870125</v>
      </c>
      <c r="D91" s="19">
        <v>805.11</v>
      </c>
      <c r="E91" s="18">
        <v>71896.053203222473</v>
      </c>
    </row>
    <row r="92" spans="1:5" x14ac:dyDescent="0.3">
      <c r="A92" s="18">
        <v>81</v>
      </c>
      <c r="B92" s="19">
        <v>261981.1</v>
      </c>
      <c r="C92" s="20">
        <v>806.25835783035757</v>
      </c>
      <c r="D92" s="19">
        <v>807.58</v>
      </c>
      <c r="E92" s="18">
        <v>72702.311561052833</v>
      </c>
    </row>
    <row r="93" spans="1:5" x14ac:dyDescent="0.3">
      <c r="A93" s="18">
        <v>82</v>
      </c>
      <c r="B93" s="19">
        <v>261171.04</v>
      </c>
      <c r="C93" s="20">
        <v>803.78063266876904</v>
      </c>
      <c r="D93" s="19">
        <v>810.06</v>
      </c>
      <c r="E93" s="18">
        <v>73506.092193721604</v>
      </c>
    </row>
    <row r="94" spans="1:5" x14ac:dyDescent="0.3">
      <c r="A94" s="18">
        <v>83</v>
      </c>
      <c r="B94" s="19">
        <v>260358.49</v>
      </c>
      <c r="C94" s="20">
        <v>801.29529865307222</v>
      </c>
      <c r="D94" s="19">
        <v>812.55</v>
      </c>
      <c r="E94" s="18">
        <v>74307.387492374677</v>
      </c>
    </row>
    <row r="95" spans="1:5" x14ac:dyDescent="0.3">
      <c r="A95" s="18">
        <v>84</v>
      </c>
      <c r="B95" s="19">
        <v>259543.45</v>
      </c>
      <c r="C95" s="20">
        <v>798.80232510240387</v>
      </c>
      <c r="D95" s="19">
        <v>815.04</v>
      </c>
      <c r="E95" s="18">
        <v>75106.189817477076</v>
      </c>
    </row>
    <row r="96" spans="1:5" x14ac:dyDescent="0.3">
      <c r="A96" s="21">
        <v>85</v>
      </c>
      <c r="B96" s="22">
        <v>258725.91</v>
      </c>
      <c r="C96" s="23">
        <v>796.30171201676387</v>
      </c>
      <c r="D96" s="22">
        <v>817.54</v>
      </c>
      <c r="E96" s="21">
        <v>75902.49152949384</v>
      </c>
    </row>
    <row r="97" spans="1:5" x14ac:dyDescent="0.3">
      <c r="A97" s="21">
        <v>86</v>
      </c>
      <c r="B97" s="22">
        <v>257905.86</v>
      </c>
      <c r="C97" s="23">
        <v>793.793428715289</v>
      </c>
      <c r="D97" s="22">
        <v>820.05</v>
      </c>
      <c r="E97" s="21">
        <v>76696.284958209129</v>
      </c>
    </row>
    <row r="98" spans="1:5" x14ac:dyDescent="0.3">
      <c r="A98" s="21">
        <v>87</v>
      </c>
      <c r="B98" s="22">
        <v>257083.29</v>
      </c>
      <c r="C98" s="23">
        <v>791.27744451711578</v>
      </c>
      <c r="D98" s="22">
        <v>822.57</v>
      </c>
      <c r="E98" s="21">
        <v>77487.562402726238</v>
      </c>
    </row>
    <row r="99" spans="1:5" x14ac:dyDescent="0.3">
      <c r="A99" s="21">
        <v>88</v>
      </c>
      <c r="B99" s="22">
        <v>256258.2</v>
      </c>
      <c r="C99" s="23">
        <v>788.753728741381</v>
      </c>
      <c r="D99" s="22">
        <v>825.09</v>
      </c>
      <c r="E99" s="21">
        <v>78276.316131467625</v>
      </c>
    </row>
    <row r="100" spans="1:5" x14ac:dyDescent="0.3">
      <c r="A100" s="21">
        <v>89</v>
      </c>
      <c r="B100" s="22">
        <v>255430.58</v>
      </c>
      <c r="C100" s="23">
        <v>786.22228138808464</v>
      </c>
      <c r="D100" s="22">
        <v>827.62</v>
      </c>
      <c r="E100" s="21">
        <v>79062.538412855705</v>
      </c>
    </row>
    <row r="101" spans="1:5" x14ac:dyDescent="0.3">
      <c r="A101" s="21">
        <v>90</v>
      </c>
      <c r="B101" s="22">
        <v>254600.42</v>
      </c>
      <c r="C101" s="23">
        <v>783.68307177636336</v>
      </c>
      <c r="D101" s="22">
        <v>830.16</v>
      </c>
      <c r="E101" s="21">
        <v>79846.221484632071</v>
      </c>
    </row>
    <row r="102" spans="1:5" x14ac:dyDescent="0.3">
      <c r="A102" s="21">
        <v>91</v>
      </c>
      <c r="B102" s="22">
        <v>253767.71</v>
      </c>
      <c r="C102" s="23">
        <v>781.13606922535371</v>
      </c>
      <c r="D102" s="22">
        <v>832.71</v>
      </c>
      <c r="E102" s="21">
        <v>80627.357553857422</v>
      </c>
    </row>
    <row r="103" spans="1:5" x14ac:dyDescent="0.3">
      <c r="A103" s="21">
        <v>92</v>
      </c>
      <c r="B103" s="22">
        <v>252932.45</v>
      </c>
      <c r="C103" s="23">
        <v>778.58124305419244</v>
      </c>
      <c r="D103" s="22">
        <v>835.26</v>
      </c>
      <c r="E103" s="21">
        <v>81405.938796911621</v>
      </c>
    </row>
    <row r="104" spans="1:5" x14ac:dyDescent="0.3">
      <c r="A104" s="21">
        <v>93</v>
      </c>
      <c r="B104" s="22">
        <v>252094.63</v>
      </c>
      <c r="C104" s="23">
        <v>776.01859326287956</v>
      </c>
      <c r="D104" s="22">
        <v>837.82</v>
      </c>
      <c r="E104" s="21">
        <v>82181.957390174503</v>
      </c>
    </row>
    <row r="105" spans="1:5" x14ac:dyDescent="0.3">
      <c r="A105" s="21">
        <v>94</v>
      </c>
      <c r="B105" s="22">
        <v>251254.24</v>
      </c>
      <c r="C105" s="23">
        <v>773.44808917055173</v>
      </c>
      <c r="D105" s="22">
        <v>840.39</v>
      </c>
      <c r="E105" s="21">
        <v>82955.405479345049</v>
      </c>
    </row>
    <row r="106" spans="1:5" x14ac:dyDescent="0.3">
      <c r="A106" s="21">
        <v>95</v>
      </c>
      <c r="B106" s="22">
        <v>250411.27</v>
      </c>
      <c r="C106" s="23">
        <v>770.86970009634558</v>
      </c>
      <c r="D106" s="22">
        <v>842.97</v>
      </c>
      <c r="E106" s="21">
        <v>83726.275179441393</v>
      </c>
    </row>
    <row r="107" spans="1:5" x14ac:dyDescent="0.3">
      <c r="A107" s="21">
        <v>96</v>
      </c>
      <c r="B107" s="22">
        <v>249565.71</v>
      </c>
      <c r="C107" s="23">
        <v>768.28339535939779</v>
      </c>
      <c r="D107" s="22">
        <v>845.56</v>
      </c>
      <c r="E107" s="21">
        <v>84494.558574800787</v>
      </c>
    </row>
    <row r="108" spans="1:5" x14ac:dyDescent="0.3">
      <c r="A108" s="18">
        <v>97</v>
      </c>
      <c r="B108" s="19">
        <v>248717.56</v>
      </c>
      <c r="C108" s="20">
        <v>765.68914427884511</v>
      </c>
      <c r="D108" s="19">
        <v>848.15</v>
      </c>
      <c r="E108" s="18">
        <v>85260.247719079634</v>
      </c>
    </row>
    <row r="109" spans="1:5" x14ac:dyDescent="0.3">
      <c r="A109" s="18">
        <v>98</v>
      </c>
      <c r="B109" s="19">
        <v>247866.8</v>
      </c>
      <c r="C109" s="20">
        <v>763.08694685468731</v>
      </c>
      <c r="D109" s="19">
        <v>850.76</v>
      </c>
      <c r="E109" s="18">
        <v>86023.334665934322</v>
      </c>
    </row>
    <row r="110" spans="1:5" x14ac:dyDescent="0.3">
      <c r="A110" s="18">
        <v>99</v>
      </c>
      <c r="B110" s="19">
        <v>247013.43</v>
      </c>
      <c r="C110" s="20">
        <v>760.47674172519783</v>
      </c>
      <c r="D110" s="19">
        <v>853.37</v>
      </c>
      <c r="E110" s="18">
        <v>86783.811407659523</v>
      </c>
    </row>
    <row r="111" spans="1:5" x14ac:dyDescent="0.3">
      <c r="A111" s="18">
        <v>100</v>
      </c>
      <c r="B111" s="19">
        <v>246157.45</v>
      </c>
      <c r="C111" s="20">
        <v>757.85852889037676</v>
      </c>
      <c r="D111" s="19">
        <v>855.98</v>
      </c>
      <c r="E111" s="18">
        <v>87541.669936549893</v>
      </c>
    </row>
    <row r="112" spans="1:5" x14ac:dyDescent="0.3">
      <c r="A112" s="18">
        <v>101</v>
      </c>
      <c r="B112" s="19">
        <v>245298.84</v>
      </c>
      <c r="C112" s="20">
        <v>755.232308350224</v>
      </c>
      <c r="D112" s="19">
        <v>858.61</v>
      </c>
      <c r="E112" s="18">
        <v>88296.90224490012</v>
      </c>
    </row>
    <row r="113" spans="1:5" x14ac:dyDescent="0.3">
      <c r="A113" s="18">
        <v>102</v>
      </c>
      <c r="B113" s="19">
        <v>244437.6</v>
      </c>
      <c r="C113" s="20">
        <v>752.59801874301297</v>
      </c>
      <c r="D113" s="19">
        <v>861.24</v>
      </c>
      <c r="E113" s="18">
        <v>89049.500263643131</v>
      </c>
    </row>
    <row r="114" spans="1:5" x14ac:dyDescent="0.3">
      <c r="A114" s="18">
        <v>103</v>
      </c>
      <c r="B114" s="19">
        <v>243573.71</v>
      </c>
      <c r="C114" s="20">
        <v>749.95566006874344</v>
      </c>
      <c r="D114" s="19">
        <v>863.89</v>
      </c>
      <c r="E114" s="18">
        <v>89799.455923711881</v>
      </c>
    </row>
    <row r="115" spans="1:5" x14ac:dyDescent="0.3">
      <c r="A115" s="18">
        <v>104</v>
      </c>
      <c r="B115" s="19">
        <v>242707.17</v>
      </c>
      <c r="C115" s="20">
        <v>747.30517096568906</v>
      </c>
      <c r="D115" s="19">
        <v>866.54</v>
      </c>
      <c r="E115" s="18">
        <v>90546.761094677568</v>
      </c>
    </row>
    <row r="116" spans="1:5" x14ac:dyDescent="0.3">
      <c r="A116" s="18">
        <v>105</v>
      </c>
      <c r="B116" s="19">
        <v>241837.97</v>
      </c>
      <c r="C116" s="20">
        <v>744.64655143384948</v>
      </c>
      <c r="D116" s="19">
        <v>869.2</v>
      </c>
      <c r="E116" s="18">
        <v>91291.407646111416</v>
      </c>
    </row>
    <row r="117" spans="1:5" x14ac:dyDescent="0.3">
      <c r="A117" s="18">
        <v>106</v>
      </c>
      <c r="B117" s="19">
        <v>240966.11</v>
      </c>
      <c r="C117" s="20">
        <v>741.97977079236171</v>
      </c>
      <c r="D117" s="19">
        <v>871.86</v>
      </c>
      <c r="E117" s="18">
        <v>92033.387416903774</v>
      </c>
    </row>
    <row r="118" spans="1:5" x14ac:dyDescent="0.3">
      <c r="A118" s="18">
        <v>107</v>
      </c>
      <c r="B118" s="19">
        <v>240091.57</v>
      </c>
      <c r="C118" s="20">
        <v>739.3048290412255</v>
      </c>
      <c r="D118" s="19">
        <v>874.54</v>
      </c>
      <c r="E118" s="18">
        <v>92772.692245945</v>
      </c>
    </row>
    <row r="119" spans="1:5" x14ac:dyDescent="0.3">
      <c r="A119" s="18">
        <v>108</v>
      </c>
      <c r="B119" s="19">
        <v>239214.35</v>
      </c>
      <c r="C119" s="20">
        <v>736.62166481871418</v>
      </c>
      <c r="D119" s="19">
        <v>877.22</v>
      </c>
      <c r="E119" s="18">
        <v>93509.313910763711</v>
      </c>
    </row>
    <row r="120" spans="1:5" x14ac:dyDescent="0.3">
      <c r="A120" s="21">
        <v>109</v>
      </c>
      <c r="B120" s="22">
        <v>238334.44</v>
      </c>
      <c r="C120" s="23">
        <v>733.93027812482785</v>
      </c>
      <c r="D120" s="22">
        <v>879.91</v>
      </c>
      <c r="E120" s="21">
        <v>94243.244188888537</v>
      </c>
    </row>
    <row r="121" spans="1:5" x14ac:dyDescent="0.3">
      <c r="A121" s="21">
        <v>110</v>
      </c>
      <c r="B121" s="22">
        <v>237451.83</v>
      </c>
      <c r="C121" s="23">
        <v>731.23063827870317</v>
      </c>
      <c r="D121" s="22">
        <v>882.61</v>
      </c>
      <c r="E121" s="21">
        <v>94974.474827167243</v>
      </c>
    </row>
    <row r="122" spans="1:5" x14ac:dyDescent="0.3">
      <c r="A122" s="21">
        <v>111</v>
      </c>
      <c r="B122" s="22">
        <v>236566.51</v>
      </c>
      <c r="C122" s="23">
        <v>728.52271459947679</v>
      </c>
      <c r="D122" s="22">
        <v>885.32</v>
      </c>
      <c r="E122" s="21">
        <v>95702.997541766716</v>
      </c>
    </row>
    <row r="123" spans="1:5" x14ac:dyDescent="0.3">
      <c r="A123" s="21">
        <v>112</v>
      </c>
      <c r="B123" s="22">
        <v>235678.47</v>
      </c>
      <c r="C123" s="23">
        <v>725.80647640628536</v>
      </c>
      <c r="D123" s="22">
        <v>888.04</v>
      </c>
      <c r="E123" s="21">
        <v>96428.804018173003</v>
      </c>
    </row>
    <row r="124" spans="1:5" x14ac:dyDescent="0.3">
      <c r="A124" s="21">
        <v>113</v>
      </c>
      <c r="B124" s="22">
        <v>234787.71</v>
      </c>
      <c r="C124" s="23">
        <v>723.08189301826542</v>
      </c>
      <c r="D124" s="22">
        <v>890.76</v>
      </c>
      <c r="E124" s="21">
        <v>97151.885911191275</v>
      </c>
    </row>
    <row r="125" spans="1:5" x14ac:dyDescent="0.3">
      <c r="A125" s="21">
        <v>114</v>
      </c>
      <c r="B125" s="22">
        <v>233894.22</v>
      </c>
      <c r="C125" s="23">
        <v>720.3489644354172</v>
      </c>
      <c r="D125" s="22">
        <v>893.49</v>
      </c>
      <c r="E125" s="21">
        <v>97872.234875626687</v>
      </c>
    </row>
    <row r="126" spans="1:5" x14ac:dyDescent="0.3">
      <c r="A126" s="21">
        <v>115</v>
      </c>
      <c r="B126" s="22">
        <v>232997.99</v>
      </c>
      <c r="C126" s="23">
        <v>717.60765997687713</v>
      </c>
      <c r="D126" s="22">
        <v>896.23</v>
      </c>
      <c r="E126" s="21">
        <v>98589.842535603559</v>
      </c>
    </row>
    <row r="127" spans="1:5" x14ac:dyDescent="0.3">
      <c r="A127" s="21">
        <v>116</v>
      </c>
      <c r="B127" s="22">
        <v>232099.01</v>
      </c>
      <c r="C127" s="23">
        <v>714.85794896178209</v>
      </c>
      <c r="D127" s="22">
        <v>898.98</v>
      </c>
      <c r="E127" s="21">
        <v>99304.700484565343</v>
      </c>
    </row>
    <row r="128" spans="1:5" x14ac:dyDescent="0.3">
      <c r="A128" s="21">
        <v>117</v>
      </c>
      <c r="B128" s="22">
        <v>231197.27</v>
      </c>
      <c r="C128" s="23">
        <v>712.09980070926849</v>
      </c>
      <c r="D128" s="22">
        <v>901.74</v>
      </c>
      <c r="E128" s="21">
        <v>100016.80028527461</v>
      </c>
    </row>
    <row r="129" spans="1:5" x14ac:dyDescent="0.3">
      <c r="A129" s="21">
        <v>118</v>
      </c>
      <c r="B129" s="22">
        <v>230292.76</v>
      </c>
      <c r="C129" s="23">
        <v>709.33318453847323</v>
      </c>
      <c r="D129" s="22">
        <v>904.51</v>
      </c>
      <c r="E129" s="21">
        <v>100726.13346981308</v>
      </c>
    </row>
    <row r="130" spans="1:5" x14ac:dyDescent="0.3">
      <c r="A130" s="21">
        <v>119</v>
      </c>
      <c r="B130" s="22">
        <v>229385.48</v>
      </c>
      <c r="C130" s="23">
        <v>706.55806976853285</v>
      </c>
      <c r="D130" s="22">
        <v>907.28</v>
      </c>
      <c r="E130" s="21">
        <v>101432.69153958162</v>
      </c>
    </row>
    <row r="131" spans="1:5" x14ac:dyDescent="0.3">
      <c r="A131" s="21">
        <v>120</v>
      </c>
      <c r="B131" s="22">
        <v>228475.41</v>
      </c>
      <c r="C131" s="23">
        <v>703.77445639944733</v>
      </c>
      <c r="D131" s="22">
        <v>910.07</v>
      </c>
      <c r="E131" s="21">
        <v>102136.46599598107</v>
      </c>
    </row>
    <row r="132" spans="1:5" x14ac:dyDescent="0.3">
      <c r="A132" s="18">
        <v>121</v>
      </c>
      <c r="B132" s="19">
        <v>227562.55</v>
      </c>
      <c r="C132" s="20">
        <v>700.98228306949011</v>
      </c>
      <c r="D132" s="19">
        <v>912.86</v>
      </c>
      <c r="E132" s="18">
        <v>102837.44827905056</v>
      </c>
    </row>
    <row r="133" spans="1:5" x14ac:dyDescent="0.3">
      <c r="A133" s="18">
        <v>122</v>
      </c>
      <c r="B133" s="19">
        <v>226646.89</v>
      </c>
      <c r="C133" s="20">
        <v>698.18154977866106</v>
      </c>
      <c r="D133" s="19">
        <v>915.66</v>
      </c>
      <c r="E133" s="18">
        <v>103535.62982882922</v>
      </c>
    </row>
    <row r="134" spans="1:5" x14ac:dyDescent="0.3">
      <c r="A134" s="18">
        <v>123</v>
      </c>
      <c r="B134" s="19">
        <v>225728.42</v>
      </c>
      <c r="C134" s="20">
        <v>695.37222584609685</v>
      </c>
      <c r="D134" s="19">
        <v>918.47</v>
      </c>
      <c r="E134" s="18">
        <v>104231.00205467531</v>
      </c>
    </row>
    <row r="135" spans="1:5" x14ac:dyDescent="0.3">
      <c r="A135" s="18">
        <v>124</v>
      </c>
      <c r="B135" s="19">
        <v>224807.13</v>
      </c>
      <c r="C135" s="20">
        <v>692.55428059093424</v>
      </c>
      <c r="D135" s="19">
        <v>921.29</v>
      </c>
      <c r="E135" s="18">
        <v>104923.55633526624</v>
      </c>
    </row>
    <row r="136" spans="1:5" x14ac:dyDescent="0.3">
      <c r="A136" s="18">
        <v>125</v>
      </c>
      <c r="B136" s="19">
        <v>223883.02</v>
      </c>
      <c r="C136" s="20">
        <v>689.72768333230988</v>
      </c>
      <c r="D136" s="19">
        <v>924.11</v>
      </c>
      <c r="E136" s="18">
        <v>105613.28401859856</v>
      </c>
    </row>
    <row r="137" spans="1:5" x14ac:dyDescent="0.3">
      <c r="A137" s="18">
        <v>126</v>
      </c>
      <c r="B137" s="19">
        <v>222956.07</v>
      </c>
      <c r="C137" s="20">
        <v>686.89243407022366</v>
      </c>
      <c r="D137" s="19">
        <v>926.95</v>
      </c>
      <c r="E137" s="18">
        <v>106300.17645266878</v>
      </c>
    </row>
    <row r="138" spans="1:5" x14ac:dyDescent="0.3">
      <c r="A138" s="18">
        <v>127</v>
      </c>
      <c r="B138" s="19">
        <v>222026.28</v>
      </c>
      <c r="C138" s="20">
        <v>684.04847144294899</v>
      </c>
      <c r="D138" s="19">
        <v>929.79</v>
      </c>
      <c r="E138" s="18">
        <v>106984.22492411172</v>
      </c>
    </row>
    <row r="139" spans="1:5" x14ac:dyDescent="0.3">
      <c r="A139" s="18">
        <v>128</v>
      </c>
      <c r="B139" s="19">
        <v>221093.63</v>
      </c>
      <c r="C139" s="20">
        <v>681.19579545048578</v>
      </c>
      <c r="D139" s="19">
        <v>932.65</v>
      </c>
      <c r="E139" s="18">
        <v>107665.42071956221</v>
      </c>
    </row>
    <row r="140" spans="1:5" x14ac:dyDescent="0.3">
      <c r="A140" s="18">
        <v>129</v>
      </c>
      <c r="B140" s="19">
        <v>220158.12</v>
      </c>
      <c r="C140" s="20">
        <v>678.33434473110742</v>
      </c>
      <c r="D140" s="19">
        <v>935.51</v>
      </c>
      <c r="E140" s="18">
        <v>108343.75506429332</v>
      </c>
    </row>
    <row r="141" spans="1:5" x14ac:dyDescent="0.3">
      <c r="A141" s="18">
        <v>130</v>
      </c>
      <c r="B141" s="19">
        <v>219219.74</v>
      </c>
      <c r="C141" s="20">
        <v>675.46411928481393</v>
      </c>
      <c r="D141" s="19">
        <v>938.38</v>
      </c>
      <c r="E141" s="18">
        <v>109019.21918357813</v>
      </c>
    </row>
    <row r="142" spans="1:5" x14ac:dyDescent="0.3">
      <c r="A142" s="18">
        <v>131</v>
      </c>
      <c r="B142" s="19">
        <v>218278.48</v>
      </c>
      <c r="C142" s="20">
        <v>672.58508843074196</v>
      </c>
      <c r="D142" s="19">
        <v>941.26</v>
      </c>
      <c r="E142" s="18">
        <v>109691.80427200887</v>
      </c>
    </row>
    <row r="143" spans="1:5" x14ac:dyDescent="0.3">
      <c r="A143" s="18">
        <v>132</v>
      </c>
      <c r="B143" s="19">
        <v>217334.33</v>
      </c>
      <c r="C143" s="20">
        <v>669.69722148802816</v>
      </c>
      <c r="D143" s="19">
        <v>944.15</v>
      </c>
      <c r="E143" s="18">
        <v>110361.50149349689</v>
      </c>
    </row>
    <row r="144" spans="1:5" x14ac:dyDescent="0.3">
      <c r="A144" s="21">
        <v>133</v>
      </c>
      <c r="B144" s="22">
        <v>216387.29</v>
      </c>
      <c r="C144" s="23">
        <v>666.80048777580907</v>
      </c>
      <c r="D144" s="22">
        <v>947.04</v>
      </c>
      <c r="E144" s="21">
        <v>111028.3019812727</v>
      </c>
    </row>
    <row r="145" spans="1:5" x14ac:dyDescent="0.3">
      <c r="A145" s="21">
        <v>134</v>
      </c>
      <c r="B145" s="22">
        <v>215437.34</v>
      </c>
      <c r="C145" s="23">
        <v>663.89488729408492</v>
      </c>
      <c r="D145" s="22">
        <v>949.95</v>
      </c>
      <c r="E145" s="21">
        <v>111692.19686856678</v>
      </c>
    </row>
    <row r="146" spans="1:5" x14ac:dyDescent="0.3">
      <c r="A146" s="21">
        <v>135</v>
      </c>
      <c r="B146" s="22">
        <v>214484.48000000001</v>
      </c>
      <c r="C146" s="23">
        <v>660.98035868112891</v>
      </c>
      <c r="D146" s="22">
        <v>952.86</v>
      </c>
      <c r="E146" s="21">
        <v>112353.17722724791</v>
      </c>
    </row>
    <row r="147" spans="1:5" x14ac:dyDescent="0.3">
      <c r="A147" s="21">
        <v>136</v>
      </c>
      <c r="B147" s="22">
        <v>213528.69</v>
      </c>
      <c r="C147" s="23">
        <v>658.05690193694102</v>
      </c>
      <c r="D147" s="22">
        <v>955.79</v>
      </c>
      <c r="E147" s="21">
        <v>113011.23412918486</v>
      </c>
    </row>
    <row r="148" spans="1:5" x14ac:dyDescent="0.3">
      <c r="A148" s="21">
        <v>137</v>
      </c>
      <c r="B148" s="22">
        <v>212569.97</v>
      </c>
      <c r="C148" s="23">
        <v>655.12445569979457</v>
      </c>
      <c r="D148" s="22">
        <v>958.72</v>
      </c>
      <c r="E148" s="21">
        <v>113666.35858488466</v>
      </c>
    </row>
    <row r="149" spans="1:5" x14ac:dyDescent="0.3">
      <c r="A149" s="21">
        <v>138</v>
      </c>
      <c r="B149" s="22">
        <v>211608.31</v>
      </c>
      <c r="C149" s="23">
        <v>652.18301996968955</v>
      </c>
      <c r="D149" s="22">
        <v>961.66</v>
      </c>
      <c r="E149" s="21">
        <v>114318.54160485434</v>
      </c>
    </row>
    <row r="150" spans="1:5" x14ac:dyDescent="0.3">
      <c r="A150" s="21">
        <v>139</v>
      </c>
      <c r="B150" s="22">
        <v>210643.7</v>
      </c>
      <c r="C150" s="23">
        <v>649.23256406576274</v>
      </c>
      <c r="D150" s="22">
        <v>964.61</v>
      </c>
      <c r="E150" s="21">
        <v>114967.77416892011</v>
      </c>
    </row>
    <row r="151" spans="1:5" x14ac:dyDescent="0.3">
      <c r="A151" s="21">
        <v>140</v>
      </c>
      <c r="B151" s="22">
        <v>209676.13</v>
      </c>
      <c r="C151" s="23">
        <v>646.27305730715068</v>
      </c>
      <c r="D151" s="22">
        <v>967.57</v>
      </c>
      <c r="E151" s="21">
        <v>115614.04722622725</v>
      </c>
    </row>
    <row r="152" spans="1:5" x14ac:dyDescent="0.3">
      <c r="A152" s="21">
        <v>141</v>
      </c>
      <c r="B152" s="22">
        <v>208705.59</v>
      </c>
      <c r="C152" s="23">
        <v>643.30446901299013</v>
      </c>
      <c r="D152" s="22">
        <v>970.54</v>
      </c>
      <c r="E152" s="21">
        <v>116257.35169524024</v>
      </c>
    </row>
    <row r="153" spans="1:5" x14ac:dyDescent="0.3">
      <c r="A153" s="21">
        <v>142</v>
      </c>
      <c r="B153" s="22">
        <v>207732.07</v>
      </c>
      <c r="C153" s="23">
        <v>640.32676850241762</v>
      </c>
      <c r="D153" s="22">
        <v>973.52</v>
      </c>
      <c r="E153" s="21">
        <v>116897.67846374266</v>
      </c>
    </row>
    <row r="154" spans="1:5" x14ac:dyDescent="0.3">
      <c r="A154" s="21">
        <v>143</v>
      </c>
      <c r="B154" s="22">
        <v>206755.57</v>
      </c>
      <c r="C154" s="23">
        <v>637.33992509456982</v>
      </c>
      <c r="D154" s="22">
        <v>976.5</v>
      </c>
      <c r="E154" s="21">
        <v>117535.01838883723</v>
      </c>
    </row>
    <row r="155" spans="1:5" x14ac:dyDescent="0.3">
      <c r="A155" s="21">
        <v>144</v>
      </c>
      <c r="B155" s="22">
        <v>205776.07</v>
      </c>
      <c r="C155" s="23">
        <v>634.34393878944684</v>
      </c>
      <c r="D155" s="22">
        <v>979.5</v>
      </c>
      <c r="E155" s="21">
        <v>118169.36232762667</v>
      </c>
    </row>
    <row r="156" spans="1:5" x14ac:dyDescent="0.3">
      <c r="A156" s="18">
        <v>145</v>
      </c>
      <c r="B156" s="19">
        <v>204793.57</v>
      </c>
      <c r="C156" s="20">
        <v>631.33874822532198</v>
      </c>
      <c r="D156" s="19">
        <v>982.5</v>
      </c>
      <c r="E156" s="18">
        <v>118800.70107585199</v>
      </c>
    </row>
    <row r="157" spans="1:5" x14ac:dyDescent="0.3">
      <c r="A157" s="18">
        <v>146</v>
      </c>
      <c r="B157" s="19">
        <v>203808.05</v>
      </c>
      <c r="C157" s="20">
        <v>628.32435340219513</v>
      </c>
      <c r="D157" s="19">
        <v>985.52</v>
      </c>
      <c r="E157" s="18">
        <v>119429.02542925418</v>
      </c>
    </row>
    <row r="158" spans="1:5" x14ac:dyDescent="0.3">
      <c r="A158" s="18">
        <v>147</v>
      </c>
      <c r="B158" s="19">
        <v>202819.51</v>
      </c>
      <c r="C158" s="20">
        <v>625.30069295833982</v>
      </c>
      <c r="D158" s="19">
        <v>988.54</v>
      </c>
      <c r="E158" s="18">
        <v>120054.32612221251</v>
      </c>
    </row>
    <row r="159" spans="1:5" x14ac:dyDescent="0.3">
      <c r="A159" s="18">
        <v>148</v>
      </c>
      <c r="B159" s="19">
        <v>201827.94</v>
      </c>
      <c r="C159" s="20">
        <v>622.26776689375583</v>
      </c>
      <c r="D159" s="19">
        <v>991.57</v>
      </c>
      <c r="E159" s="18">
        <v>120676.59388910627</v>
      </c>
    </row>
    <row r="160" spans="1:5" x14ac:dyDescent="0.3">
      <c r="A160" s="18">
        <v>149</v>
      </c>
      <c r="B160" s="19">
        <v>200833.32</v>
      </c>
      <c r="C160" s="20">
        <v>619.22554452757981</v>
      </c>
      <c r="D160" s="19">
        <v>994.62</v>
      </c>
      <c r="E160" s="18">
        <v>121295.81943363385</v>
      </c>
    </row>
    <row r="161" spans="1:5" x14ac:dyDescent="0.3">
      <c r="A161" s="18">
        <v>150</v>
      </c>
      <c r="B161" s="19">
        <v>199835.65</v>
      </c>
      <c r="C161" s="20">
        <v>616.1739644980853</v>
      </c>
      <c r="D161" s="19">
        <v>997.67</v>
      </c>
      <c r="E161" s="18">
        <v>121911.99339813193</v>
      </c>
    </row>
    <row r="162" spans="1:5" x14ac:dyDescent="0.3">
      <c r="A162" s="18">
        <v>151</v>
      </c>
      <c r="B162" s="19">
        <v>198834.92</v>
      </c>
      <c r="C162" s="20">
        <v>613.11302680527217</v>
      </c>
      <c r="D162" s="19">
        <v>1000.73</v>
      </c>
      <c r="E162" s="18">
        <v>122525.1064249372</v>
      </c>
    </row>
    <row r="163" spans="1:5" x14ac:dyDescent="0.3">
      <c r="A163" s="18">
        <v>152</v>
      </c>
      <c r="B163" s="19">
        <v>197831.12</v>
      </c>
      <c r="C163" s="20">
        <v>610.04270076827709</v>
      </c>
      <c r="D163" s="19">
        <v>1003.8</v>
      </c>
      <c r="E163" s="18">
        <v>123135.14912570547</v>
      </c>
    </row>
    <row r="164" spans="1:5" x14ac:dyDescent="0.3">
      <c r="A164" s="18">
        <v>153</v>
      </c>
      <c r="B164" s="19">
        <v>196824.24</v>
      </c>
      <c r="C164" s="20">
        <v>606.9629557062367</v>
      </c>
      <c r="D164" s="19">
        <v>1006.88</v>
      </c>
      <c r="E164" s="18">
        <v>123742.11208141172</v>
      </c>
    </row>
    <row r="165" spans="1:5" x14ac:dyDescent="0.3">
      <c r="A165" s="18">
        <v>154</v>
      </c>
      <c r="B165" s="19">
        <v>195814.27</v>
      </c>
      <c r="C165" s="20">
        <v>603.87376093828766</v>
      </c>
      <c r="D165" s="19">
        <v>1009.97</v>
      </c>
      <c r="E165" s="18">
        <v>124345.98584235</v>
      </c>
    </row>
    <row r="166" spans="1:5" x14ac:dyDescent="0.3">
      <c r="A166" s="18">
        <v>155</v>
      </c>
      <c r="B166" s="19">
        <v>194801.2</v>
      </c>
      <c r="C166" s="20">
        <v>600.77508578356662</v>
      </c>
      <c r="D166" s="19">
        <v>1013.07</v>
      </c>
      <c r="E166" s="18">
        <v>124946.76092813356</v>
      </c>
    </row>
    <row r="167" spans="1:5" x14ac:dyDescent="0.3">
      <c r="A167" s="18">
        <v>156</v>
      </c>
      <c r="B167" s="19">
        <v>193785.02</v>
      </c>
      <c r="C167" s="20">
        <v>597.66689956121036</v>
      </c>
      <c r="D167" s="19">
        <v>1016.18</v>
      </c>
      <c r="E167" s="18">
        <v>125544.42782769477</v>
      </c>
    </row>
    <row r="168" spans="1:5" x14ac:dyDescent="0.3">
      <c r="A168" s="21">
        <v>157</v>
      </c>
      <c r="B168" s="22">
        <v>192765.73</v>
      </c>
      <c r="C168" s="23">
        <v>594.5491715903554</v>
      </c>
      <c r="D168" s="22">
        <v>1019.29</v>
      </c>
      <c r="E168" s="21">
        <v>126138.97699928514</v>
      </c>
    </row>
    <row r="169" spans="1:5" x14ac:dyDescent="0.3">
      <c r="A169" s="21">
        <v>158</v>
      </c>
      <c r="B169" s="22">
        <v>191743.31</v>
      </c>
      <c r="C169" s="23">
        <v>591.42190187100175</v>
      </c>
      <c r="D169" s="22">
        <v>1022.42</v>
      </c>
      <c r="E169" s="21">
        <v>126730.39890115614</v>
      </c>
    </row>
    <row r="170" spans="1:5" x14ac:dyDescent="0.3">
      <c r="A170" s="21">
        <v>159</v>
      </c>
      <c r="B170" s="22">
        <v>190717.75</v>
      </c>
      <c r="C170" s="23">
        <v>588.28502904142283</v>
      </c>
      <c r="D170" s="22">
        <v>1025.56</v>
      </c>
      <c r="E170" s="21">
        <v>127318.68393019756</v>
      </c>
    </row>
    <row r="171" spans="1:5" x14ac:dyDescent="0.3">
      <c r="A171" s="21">
        <v>160</v>
      </c>
      <c r="B171" s="22">
        <v>189689.05</v>
      </c>
      <c r="C171" s="23">
        <v>585.13852242075529</v>
      </c>
      <c r="D171" s="22">
        <v>1028.7</v>
      </c>
      <c r="E171" s="21">
        <v>127903.82245261832</v>
      </c>
    </row>
    <row r="172" spans="1:5" x14ac:dyDescent="0.3">
      <c r="A172" s="21">
        <v>161</v>
      </c>
      <c r="B172" s="22">
        <v>188657.19</v>
      </c>
      <c r="C172" s="23">
        <v>581.98238200899902</v>
      </c>
      <c r="D172" s="22">
        <v>1031.8599999999999</v>
      </c>
      <c r="E172" s="21">
        <v>128485.80483462731</v>
      </c>
    </row>
    <row r="173" spans="1:5" x14ac:dyDescent="0.3">
      <c r="A173" s="21">
        <v>162</v>
      </c>
      <c r="B173" s="22">
        <v>187622.16</v>
      </c>
      <c r="C173" s="23">
        <v>578.81654644442733</v>
      </c>
      <c r="D173" s="22">
        <v>1035.03</v>
      </c>
      <c r="E173" s="21">
        <v>129064.62138107175</v>
      </c>
    </row>
    <row r="174" spans="1:5" x14ac:dyDescent="0.3">
      <c r="A174" s="21">
        <v>163</v>
      </c>
      <c r="B174" s="22">
        <v>186583.96</v>
      </c>
      <c r="C174" s="23">
        <v>575.64098504617698</v>
      </c>
      <c r="D174" s="22">
        <v>1038.2</v>
      </c>
      <c r="E174" s="21">
        <v>129640.26236611792</v>
      </c>
    </row>
    <row r="175" spans="1:5" x14ac:dyDescent="0.3">
      <c r="A175" s="21">
        <v>164</v>
      </c>
      <c r="B175" s="22">
        <v>185542.57</v>
      </c>
      <c r="C175" s="23">
        <v>572.45569781424797</v>
      </c>
      <c r="D175" s="22">
        <v>1041.3900000000001</v>
      </c>
      <c r="E175" s="21">
        <v>130212.71806393217</v>
      </c>
    </row>
    <row r="176" spans="1:5" x14ac:dyDescent="0.3">
      <c r="A176" s="21">
        <v>165</v>
      </c>
      <c r="B176" s="22">
        <v>184497.99</v>
      </c>
      <c r="C176" s="23">
        <v>569.26062338691361</v>
      </c>
      <c r="D176" s="22">
        <v>1044.58</v>
      </c>
      <c r="E176" s="21">
        <v>130781.97868731909</v>
      </c>
    </row>
    <row r="177" spans="1:5" x14ac:dyDescent="0.3">
      <c r="A177" s="21">
        <v>166</v>
      </c>
      <c r="B177" s="22">
        <v>183450.2</v>
      </c>
      <c r="C177" s="23">
        <v>566.05576176417389</v>
      </c>
      <c r="D177" s="22">
        <v>1047.79</v>
      </c>
      <c r="E177" s="21">
        <v>131348.03444908326</v>
      </c>
    </row>
    <row r="178" spans="1:5" x14ac:dyDescent="0.3">
      <c r="A178" s="21">
        <v>167</v>
      </c>
      <c r="B178" s="22">
        <v>182399.2</v>
      </c>
      <c r="C178" s="23">
        <v>562.84105158430214</v>
      </c>
      <c r="D178" s="22">
        <v>1051</v>
      </c>
      <c r="E178" s="21">
        <v>131910.87550066758</v>
      </c>
    </row>
    <row r="179" spans="1:5" x14ac:dyDescent="0.3">
      <c r="A179" s="21">
        <v>168</v>
      </c>
      <c r="B179" s="22">
        <v>181344.97</v>
      </c>
      <c r="C179" s="23">
        <v>559.61649284729822</v>
      </c>
      <c r="D179" s="22">
        <v>1054.23</v>
      </c>
      <c r="E179" s="21">
        <v>132470.49199351488</v>
      </c>
    </row>
    <row r="180" spans="1:5" x14ac:dyDescent="0.3">
      <c r="A180" s="18">
        <v>169</v>
      </c>
      <c r="B180" s="19">
        <v>180287.51</v>
      </c>
      <c r="C180" s="20">
        <v>556.38202419143568</v>
      </c>
      <c r="D180" s="19">
        <v>1057.46</v>
      </c>
      <c r="E180" s="18">
        <v>133026.87401770632</v>
      </c>
    </row>
    <row r="181" spans="1:5" x14ac:dyDescent="0.3">
      <c r="A181" s="18">
        <v>170</v>
      </c>
      <c r="B181" s="19">
        <v>179226.81</v>
      </c>
      <c r="C181" s="20">
        <v>553.13764561671439</v>
      </c>
      <c r="D181" s="19">
        <v>1060.7</v>
      </c>
      <c r="E181" s="18">
        <v>133580.01166332304</v>
      </c>
    </row>
    <row r="182" spans="1:5" x14ac:dyDescent="0.3">
      <c r="A182" s="18">
        <v>171</v>
      </c>
      <c r="B182" s="19">
        <v>178162.85</v>
      </c>
      <c r="C182" s="20">
        <v>549.88332644227103</v>
      </c>
      <c r="D182" s="19">
        <v>1063.96</v>
      </c>
      <c r="E182" s="18">
        <v>134129.89498976531</v>
      </c>
    </row>
    <row r="183" spans="1:5" x14ac:dyDescent="0.3">
      <c r="A183" s="18">
        <v>172</v>
      </c>
      <c r="B183" s="19">
        <v>177095.63</v>
      </c>
      <c r="C183" s="20">
        <v>546.61900530637899</v>
      </c>
      <c r="D183" s="19">
        <v>1067.22</v>
      </c>
      <c r="E183" s="18">
        <v>134676.5139950717</v>
      </c>
    </row>
    <row r="184" spans="1:5" x14ac:dyDescent="0.3">
      <c r="A184" s="18">
        <v>173</v>
      </c>
      <c r="B184" s="19">
        <v>176025.13</v>
      </c>
      <c r="C184" s="20">
        <v>543.34468220903807</v>
      </c>
      <c r="D184" s="19">
        <v>1070.5</v>
      </c>
      <c r="E184" s="18">
        <v>135219.85867728075</v>
      </c>
    </row>
    <row r="185" spans="1:5" x14ac:dyDescent="0.3">
      <c r="A185" s="18">
        <v>174</v>
      </c>
      <c r="B185" s="19">
        <v>174951.35</v>
      </c>
      <c r="C185" s="20">
        <v>540.06029578852178</v>
      </c>
      <c r="D185" s="19">
        <v>1073.78</v>
      </c>
      <c r="E185" s="18">
        <v>135759.91897306926</v>
      </c>
    </row>
    <row r="186" spans="1:5" x14ac:dyDescent="0.3">
      <c r="A186" s="18">
        <v>175</v>
      </c>
      <c r="B186" s="19">
        <v>173874.27</v>
      </c>
      <c r="C186" s="20">
        <v>536.76584604483014</v>
      </c>
      <c r="D186" s="19">
        <v>1077.08</v>
      </c>
      <c r="E186" s="18">
        <v>136296.6848191141</v>
      </c>
    </row>
    <row r="187" spans="1:5" x14ac:dyDescent="0.3">
      <c r="A187" s="18">
        <v>176</v>
      </c>
      <c r="B187" s="19">
        <v>172793.89</v>
      </c>
      <c r="C187" s="20">
        <v>533.46127161623633</v>
      </c>
      <c r="D187" s="19">
        <v>1080.3800000000001</v>
      </c>
      <c r="E187" s="18">
        <v>136830.14609073033</v>
      </c>
    </row>
    <row r="188" spans="1:5" x14ac:dyDescent="0.3">
      <c r="A188" s="18">
        <v>177</v>
      </c>
      <c r="B188" s="19">
        <v>171710.19</v>
      </c>
      <c r="C188" s="20">
        <v>530.14657250274036</v>
      </c>
      <c r="D188" s="19">
        <v>1083.7</v>
      </c>
      <c r="E188" s="18">
        <v>137360.29266323306</v>
      </c>
    </row>
    <row r="189" spans="1:5" x14ac:dyDescent="0.3">
      <c r="A189" s="18">
        <v>178</v>
      </c>
      <c r="B189" s="19">
        <v>170623.17</v>
      </c>
      <c r="C189" s="20">
        <v>526.82168734261575</v>
      </c>
      <c r="D189" s="19">
        <v>1087.02</v>
      </c>
      <c r="E189" s="18">
        <v>137887.11435057569</v>
      </c>
    </row>
    <row r="190" spans="1:5" x14ac:dyDescent="0.3">
      <c r="A190" s="18">
        <v>179</v>
      </c>
      <c r="B190" s="19">
        <v>169532.81</v>
      </c>
      <c r="C190" s="20">
        <v>523.48661613586216</v>
      </c>
      <c r="D190" s="19">
        <v>1090.3599999999999</v>
      </c>
      <c r="E190" s="18">
        <v>138410.60096671156</v>
      </c>
    </row>
    <row r="191" spans="1:5" x14ac:dyDescent="0.3">
      <c r="A191" s="18">
        <v>180</v>
      </c>
      <c r="B191" s="19">
        <v>168439.11</v>
      </c>
      <c r="C191" s="20">
        <v>520.14129752075326</v>
      </c>
      <c r="D191" s="19">
        <v>1093.7</v>
      </c>
      <c r="E191" s="18">
        <v>138930.74226423231</v>
      </c>
    </row>
    <row r="192" spans="1:5" x14ac:dyDescent="0.3">
      <c r="A192" s="21">
        <v>181</v>
      </c>
      <c r="B192" s="22">
        <v>167342.04999999999</v>
      </c>
      <c r="C192" s="23">
        <v>516.78573149728879</v>
      </c>
      <c r="D192" s="22">
        <v>1097.06</v>
      </c>
      <c r="E192" s="21">
        <v>139447.52799572959</v>
      </c>
    </row>
    <row r="193" spans="1:5" x14ac:dyDescent="0.3">
      <c r="A193" s="21">
        <v>182</v>
      </c>
      <c r="B193" s="22">
        <v>166241.63</v>
      </c>
      <c r="C193" s="23">
        <v>513.41985670374231</v>
      </c>
      <c r="D193" s="22">
        <v>1100.42</v>
      </c>
      <c r="E193" s="21">
        <v>139960.94785243334</v>
      </c>
    </row>
    <row r="194" spans="1:5" x14ac:dyDescent="0.3">
      <c r="A194" s="21">
        <v>183</v>
      </c>
      <c r="B194" s="22">
        <v>165137.82999999999</v>
      </c>
      <c r="C194" s="23">
        <v>510.04367314011358</v>
      </c>
      <c r="D194" s="22">
        <v>1103.8</v>
      </c>
      <c r="E194" s="21">
        <v>140470.99152557345</v>
      </c>
    </row>
    <row r="195" spans="1:5" x14ac:dyDescent="0.3">
      <c r="A195" s="21">
        <v>184</v>
      </c>
      <c r="B195" s="22">
        <v>164030.64000000001</v>
      </c>
      <c r="C195" s="23">
        <v>506.65711944467608</v>
      </c>
      <c r="D195" s="22">
        <v>1107.19</v>
      </c>
      <c r="E195" s="21">
        <v>140977.64864501814</v>
      </c>
    </row>
    <row r="196" spans="1:5" x14ac:dyDescent="0.3">
      <c r="A196" s="21">
        <v>185</v>
      </c>
      <c r="B196" s="22">
        <v>162920.06</v>
      </c>
      <c r="C196" s="23">
        <v>503.26016493656635</v>
      </c>
      <c r="D196" s="22">
        <v>1110.58</v>
      </c>
      <c r="E196" s="21">
        <v>141480.90880995471</v>
      </c>
    </row>
    <row r="197" spans="1:5" x14ac:dyDescent="0.3">
      <c r="A197" s="21">
        <v>186</v>
      </c>
      <c r="B197" s="22">
        <v>161806.07</v>
      </c>
      <c r="C197" s="23">
        <v>499.85280961578451</v>
      </c>
      <c r="D197" s="22">
        <v>1113.99</v>
      </c>
      <c r="E197" s="21">
        <v>141980.76161957049</v>
      </c>
    </row>
    <row r="198" spans="1:5" x14ac:dyDescent="0.3">
      <c r="A198" s="21">
        <v>187</v>
      </c>
      <c r="B198" s="22">
        <v>160688.66</v>
      </c>
      <c r="C198" s="23">
        <v>496.43499212060385</v>
      </c>
      <c r="D198" s="22">
        <v>1117.4100000000001</v>
      </c>
      <c r="E198" s="21">
        <v>142477.19661169109</v>
      </c>
    </row>
    <row r="199" spans="1:5" x14ac:dyDescent="0.3">
      <c r="A199" s="21">
        <v>188</v>
      </c>
      <c r="B199" s="22">
        <v>159567.82</v>
      </c>
      <c r="C199" s="23">
        <v>493.00668177016098</v>
      </c>
      <c r="D199" s="22">
        <v>1120.8399999999999</v>
      </c>
      <c r="E199" s="21">
        <v>142970.20329346127</v>
      </c>
    </row>
    <row r="200" spans="1:5" x14ac:dyDescent="0.3">
      <c r="A200" s="21">
        <v>189</v>
      </c>
      <c r="B200" s="22">
        <v>158443.54999999999</v>
      </c>
      <c r="C200" s="23">
        <v>489.56784788359255</v>
      </c>
      <c r="D200" s="22">
        <v>1124.27</v>
      </c>
      <c r="E200" s="21">
        <v>143459.77114134486</v>
      </c>
    </row>
    <row r="201" spans="1:5" x14ac:dyDescent="0.3">
      <c r="A201" s="21">
        <v>190</v>
      </c>
      <c r="B201" s="22">
        <v>157315.82999999999</v>
      </c>
      <c r="C201" s="23">
        <v>486.11849046089867</v>
      </c>
      <c r="D201" s="22">
        <v>1127.72</v>
      </c>
      <c r="E201" s="21">
        <v>143945.88963180577</v>
      </c>
    </row>
    <row r="202" spans="1:5" x14ac:dyDescent="0.3">
      <c r="A202" s="21">
        <v>191</v>
      </c>
      <c r="B202" s="22">
        <v>156184.65</v>
      </c>
      <c r="C202" s="23">
        <v>482.65854814035254</v>
      </c>
      <c r="D202" s="22">
        <v>1131.18</v>
      </c>
      <c r="E202" s="21">
        <v>144428.54817994611</v>
      </c>
    </row>
    <row r="203" spans="1:5" x14ac:dyDescent="0.3">
      <c r="A203" s="21">
        <v>192</v>
      </c>
      <c r="B203" s="22">
        <v>155050</v>
      </c>
      <c r="C203" s="23">
        <v>479.18799024109086</v>
      </c>
      <c r="D203" s="22">
        <v>1134.6500000000001</v>
      </c>
      <c r="E203" s="21">
        <v>144907.73617018721</v>
      </c>
    </row>
    <row r="204" spans="1:5" x14ac:dyDescent="0.3">
      <c r="A204" s="18">
        <v>193</v>
      </c>
      <c r="B204" s="19">
        <v>153911.85999999999</v>
      </c>
      <c r="C204" s="20">
        <v>475.70678608225035</v>
      </c>
      <c r="D204" s="19">
        <v>1138.1400000000001</v>
      </c>
      <c r="E204" s="18">
        <v>145383.44295626946</v>
      </c>
    </row>
    <row r="205" spans="1:5" x14ac:dyDescent="0.3">
      <c r="A205" s="18">
        <v>194</v>
      </c>
      <c r="B205" s="19">
        <v>152770.23000000001</v>
      </c>
      <c r="C205" s="20">
        <v>472.21487430210425</v>
      </c>
      <c r="D205" s="19">
        <v>1141.6300000000001</v>
      </c>
      <c r="E205" s="18">
        <v>145855.65783057155</v>
      </c>
    </row>
    <row r="206" spans="1:5" x14ac:dyDescent="0.3">
      <c r="A206" s="18">
        <v>195</v>
      </c>
      <c r="B206" s="19">
        <v>151625.1</v>
      </c>
      <c r="C206" s="20">
        <v>468.71225490065257</v>
      </c>
      <c r="D206" s="19">
        <v>1145.1300000000001</v>
      </c>
      <c r="E206" s="18">
        <v>146324.37008547221</v>
      </c>
    </row>
    <row r="207" spans="1:5" x14ac:dyDescent="0.3">
      <c r="A207" s="18">
        <v>196</v>
      </c>
      <c r="B207" s="19">
        <v>150476.46</v>
      </c>
      <c r="C207" s="20">
        <v>465.19889719703201</v>
      </c>
      <c r="D207" s="19">
        <v>1148.6400000000001</v>
      </c>
      <c r="E207" s="18">
        <v>146789.56898266924</v>
      </c>
    </row>
    <row r="208" spans="1:5" x14ac:dyDescent="0.3">
      <c r="A208" s="18">
        <v>197</v>
      </c>
      <c r="B208" s="19">
        <v>149324.29</v>
      </c>
      <c r="C208" s="20">
        <v>461.67477051037923</v>
      </c>
      <c r="D208" s="19">
        <v>1152.17</v>
      </c>
      <c r="E208" s="18">
        <v>147251.24375317962</v>
      </c>
    </row>
    <row r="209" spans="1:5" x14ac:dyDescent="0.3">
      <c r="A209" s="18">
        <v>198</v>
      </c>
      <c r="B209" s="19">
        <v>148168.59</v>
      </c>
      <c r="C209" s="20">
        <v>458.13981347896754</v>
      </c>
      <c r="D209" s="19">
        <v>1155.7</v>
      </c>
      <c r="E209" s="18">
        <v>147709.38356665859</v>
      </c>
    </row>
    <row r="210" spans="1:5" x14ac:dyDescent="0.3">
      <c r="A210" s="18">
        <v>199</v>
      </c>
      <c r="B210" s="19">
        <v>147009.34</v>
      </c>
      <c r="C210" s="20">
        <v>454.59402610279687</v>
      </c>
      <c r="D210" s="19">
        <v>1159.25</v>
      </c>
      <c r="E210" s="18">
        <v>148163.9775927614</v>
      </c>
    </row>
    <row r="211" spans="1:5" x14ac:dyDescent="0.3">
      <c r="A211" s="18">
        <v>200</v>
      </c>
      <c r="B211" s="19">
        <v>145846.53</v>
      </c>
      <c r="C211" s="20">
        <v>451.03734702014066</v>
      </c>
      <c r="D211" s="19">
        <v>1162.81</v>
      </c>
      <c r="E211" s="18">
        <v>148615.01493978154</v>
      </c>
    </row>
    <row r="212" spans="1:5" x14ac:dyDescent="0.3">
      <c r="A212" s="18">
        <v>201</v>
      </c>
      <c r="B212" s="19">
        <v>144680.16</v>
      </c>
      <c r="C212" s="20">
        <v>447.46974555013549</v>
      </c>
      <c r="D212" s="19">
        <v>1166.3699999999999</v>
      </c>
      <c r="E212" s="18">
        <v>149062.48468533167</v>
      </c>
    </row>
    <row r="213" spans="1:5" x14ac:dyDescent="0.3">
      <c r="A213" s="18">
        <v>202</v>
      </c>
      <c r="B213" s="19">
        <v>143510.21</v>
      </c>
      <c r="C213" s="20">
        <v>443.89122169278136</v>
      </c>
      <c r="D213" s="19">
        <v>1169.95</v>
      </c>
      <c r="E213" s="18">
        <v>149506.37590702446</v>
      </c>
    </row>
    <row r="214" spans="1:5" x14ac:dyDescent="0.3">
      <c r="A214" s="18">
        <v>203</v>
      </c>
      <c r="B214" s="19">
        <v>142336.67000000001</v>
      </c>
      <c r="C214" s="20">
        <v>440.30171408635164</v>
      </c>
      <c r="D214" s="19">
        <v>1173.54</v>
      </c>
      <c r="E214" s="18">
        <v>149946.67762111081</v>
      </c>
    </row>
    <row r="215" spans="1:5" x14ac:dyDescent="0.3">
      <c r="A215" s="18">
        <v>204</v>
      </c>
      <c r="B215" s="19">
        <v>141159.53</v>
      </c>
      <c r="C215" s="20">
        <v>436.70119204998298</v>
      </c>
      <c r="D215" s="19">
        <v>1177.1400000000001</v>
      </c>
      <c r="E215" s="18">
        <v>150383.37881316079</v>
      </c>
    </row>
    <row r="216" spans="1:5" x14ac:dyDescent="0.3">
      <c r="A216" s="21">
        <v>205</v>
      </c>
      <c r="B216" s="22">
        <v>139978.78</v>
      </c>
      <c r="C216" s="23">
        <v>433.08962490281198</v>
      </c>
      <c r="D216" s="22">
        <v>1180.75</v>
      </c>
      <c r="E216" s="21">
        <v>150816.4684380636</v>
      </c>
    </row>
    <row r="217" spans="1:5" x14ac:dyDescent="0.3">
      <c r="A217" s="21">
        <v>206</v>
      </c>
      <c r="B217" s="22">
        <v>138794.4</v>
      </c>
      <c r="C217" s="23">
        <v>429.4669819639754</v>
      </c>
      <c r="D217" s="22">
        <v>1184.3800000000001</v>
      </c>
      <c r="E217" s="21">
        <v>151245.93542002758</v>
      </c>
    </row>
    <row r="218" spans="1:5" x14ac:dyDescent="0.3">
      <c r="A218" s="21">
        <v>207</v>
      </c>
      <c r="B218" s="22">
        <v>137606.39000000001</v>
      </c>
      <c r="C218" s="23">
        <v>425.83320187174644</v>
      </c>
      <c r="D218" s="22">
        <v>1188.01</v>
      </c>
      <c r="E218" s="21">
        <v>151671.76862189933</v>
      </c>
    </row>
    <row r="219" spans="1:5" x14ac:dyDescent="0.3">
      <c r="A219" s="21">
        <v>208</v>
      </c>
      <c r="B219" s="22">
        <v>136414.74</v>
      </c>
      <c r="C219" s="23">
        <v>422.18828462612521</v>
      </c>
      <c r="D219" s="22">
        <v>1191.6500000000001</v>
      </c>
      <c r="E219" s="21">
        <v>152093.95690652545</v>
      </c>
    </row>
    <row r="220" spans="1:5" x14ac:dyDescent="0.3">
      <c r="A220" s="21">
        <v>209</v>
      </c>
      <c r="B220" s="22">
        <v>135219.43</v>
      </c>
      <c r="C220" s="23">
        <v>418.53219954624831</v>
      </c>
      <c r="D220" s="22">
        <v>1195.31</v>
      </c>
      <c r="E220" s="21">
        <v>152512.48910607171</v>
      </c>
    </row>
    <row r="221" spans="1:5" x14ac:dyDescent="0.3">
      <c r="A221" s="21">
        <v>210</v>
      </c>
      <c r="B221" s="22">
        <v>134020.45000000001</v>
      </c>
      <c r="C221" s="23">
        <v>414.8648852703891</v>
      </c>
      <c r="D221" s="22">
        <v>1198.98</v>
      </c>
      <c r="E221" s="21">
        <v>152927.3539913421</v>
      </c>
    </row>
    <row r="222" spans="1:5" x14ac:dyDescent="0.3">
      <c r="A222" s="21">
        <v>211</v>
      </c>
      <c r="B222" s="22">
        <v>132817.79</v>
      </c>
      <c r="C222" s="23">
        <v>411.18631111768417</v>
      </c>
      <c r="D222" s="22">
        <v>1202.6600000000001</v>
      </c>
      <c r="E222" s="21">
        <v>153338.54030245979</v>
      </c>
    </row>
    <row r="223" spans="1:5" x14ac:dyDescent="0.3">
      <c r="A223" s="21">
        <v>212</v>
      </c>
      <c r="B223" s="22">
        <v>131611.44</v>
      </c>
      <c r="C223" s="23">
        <v>407.49644640727024</v>
      </c>
      <c r="D223" s="22">
        <v>1206.3499999999999</v>
      </c>
      <c r="E223" s="21">
        <v>153746.03674886707</v>
      </c>
    </row>
    <row r="224" spans="1:5" x14ac:dyDescent="0.3">
      <c r="A224" s="21">
        <v>213</v>
      </c>
      <c r="B224" s="22">
        <v>130401.39</v>
      </c>
      <c r="C224" s="23">
        <v>403.79526045828396</v>
      </c>
      <c r="D224" s="22">
        <v>1210.05</v>
      </c>
      <c r="E224" s="21">
        <v>154149.83200932536</v>
      </c>
    </row>
    <row r="225" spans="1:5" x14ac:dyDescent="0.3">
      <c r="A225" s="21">
        <v>214</v>
      </c>
      <c r="B225" s="22">
        <v>129187.63</v>
      </c>
      <c r="C225" s="23">
        <v>400.08272258986199</v>
      </c>
      <c r="D225" s="22">
        <v>1213.76</v>
      </c>
      <c r="E225" s="21">
        <v>154549.91473191523</v>
      </c>
    </row>
    <row r="226" spans="1:5" x14ac:dyDescent="0.3">
      <c r="A226" s="21">
        <v>215</v>
      </c>
      <c r="B226" s="22">
        <v>127970.15</v>
      </c>
      <c r="C226" s="23">
        <v>396.35880212114097</v>
      </c>
      <c r="D226" s="22">
        <v>1217.48</v>
      </c>
      <c r="E226" s="21">
        <v>154946.27353403636</v>
      </c>
    </row>
    <row r="227" spans="1:5" x14ac:dyDescent="0.3">
      <c r="A227" s="21">
        <v>216</v>
      </c>
      <c r="B227" s="22">
        <v>126748.93</v>
      </c>
      <c r="C227" s="23">
        <v>392.62346837125762</v>
      </c>
      <c r="D227" s="22">
        <v>1221.22</v>
      </c>
      <c r="E227" s="21">
        <v>155338.89700240761</v>
      </c>
    </row>
    <row r="228" spans="1:5" x14ac:dyDescent="0.3">
      <c r="A228" s="18">
        <v>217</v>
      </c>
      <c r="B228" s="19">
        <v>125523.96</v>
      </c>
      <c r="C228" s="20">
        <v>388.87665997848518</v>
      </c>
      <c r="D228" s="19">
        <v>1224.97</v>
      </c>
      <c r="E228" s="18">
        <v>155727.77366238608</v>
      </c>
    </row>
    <row r="229" spans="1:5" x14ac:dyDescent="0.3">
      <c r="A229" s="18">
        <v>218</v>
      </c>
      <c r="B229" s="19">
        <v>124295.24</v>
      </c>
      <c r="C229" s="20">
        <v>385.11834626196031</v>
      </c>
      <c r="D229" s="19">
        <v>1228.72</v>
      </c>
      <c r="E229" s="18">
        <v>156112.89200864805</v>
      </c>
    </row>
    <row r="230" spans="1:5" x14ac:dyDescent="0.3">
      <c r="A230" s="18">
        <v>219</v>
      </c>
      <c r="B230" s="19">
        <v>123062.75</v>
      </c>
      <c r="C230" s="20">
        <v>381.34852722168313</v>
      </c>
      <c r="D230" s="19">
        <v>1232.49</v>
      </c>
      <c r="E230" s="18">
        <v>156494.24053586973</v>
      </c>
    </row>
    <row r="231" spans="1:5" x14ac:dyDescent="0.3">
      <c r="A231" s="18">
        <v>220</v>
      </c>
      <c r="B231" s="19">
        <v>121826.47</v>
      </c>
      <c r="C231" s="20">
        <v>377.56714149592682</v>
      </c>
      <c r="D231" s="19">
        <v>1236.28</v>
      </c>
      <c r="E231" s="18">
        <v>156871.80767736566</v>
      </c>
    </row>
    <row r="232" spans="1:5" x14ac:dyDescent="0.3">
      <c r="A232" s="18">
        <v>221</v>
      </c>
      <c r="B232" s="19">
        <v>120586.4</v>
      </c>
      <c r="C232" s="20">
        <v>373.77412772296481</v>
      </c>
      <c r="D232" s="19">
        <v>1240.07</v>
      </c>
      <c r="E232" s="18">
        <v>157245.58180508862</v>
      </c>
    </row>
    <row r="233" spans="1:5" x14ac:dyDescent="0.3">
      <c r="A233" s="18">
        <v>222</v>
      </c>
      <c r="B233" s="19">
        <v>119342.53</v>
      </c>
      <c r="C233" s="20">
        <v>369.96948590279698</v>
      </c>
      <c r="D233" s="19">
        <v>1243.8699999999999</v>
      </c>
      <c r="E233" s="18">
        <v>157615.55129099143</v>
      </c>
    </row>
    <row r="234" spans="1:5" x14ac:dyDescent="0.3">
      <c r="A234" s="18">
        <v>223</v>
      </c>
      <c r="B234" s="19">
        <v>118094.84</v>
      </c>
      <c r="C234" s="20">
        <v>366.15318535456009</v>
      </c>
      <c r="D234" s="19">
        <v>1247.69</v>
      </c>
      <c r="E234" s="18">
        <v>157981.70447634597</v>
      </c>
    </row>
    <row r="235" spans="1:5" x14ac:dyDescent="0.3">
      <c r="A235" s="18">
        <v>224</v>
      </c>
      <c r="B235" s="19">
        <v>116843.32</v>
      </c>
      <c r="C235" s="20">
        <v>362.32516471652747</v>
      </c>
      <c r="D235" s="19">
        <v>1251.52</v>
      </c>
      <c r="E235" s="18">
        <v>158344.02964106249</v>
      </c>
    </row>
    <row r="236" spans="1:5" x14ac:dyDescent="0.3">
      <c r="A236" s="18">
        <v>225</v>
      </c>
      <c r="B236" s="19">
        <v>115587.96</v>
      </c>
      <c r="C236" s="20">
        <v>358.48539330783569</v>
      </c>
      <c r="D236" s="19">
        <v>1255.3599999999999</v>
      </c>
      <c r="E236" s="18">
        <v>158702.51503437033</v>
      </c>
    </row>
    <row r="237" spans="1:5" x14ac:dyDescent="0.3">
      <c r="A237" s="18">
        <v>226</v>
      </c>
      <c r="B237" s="19">
        <v>114328.75</v>
      </c>
      <c r="C237" s="20">
        <v>354.63384044762148</v>
      </c>
      <c r="D237" s="19">
        <v>1259.21</v>
      </c>
      <c r="E237" s="18">
        <v>159057.14887481794</v>
      </c>
    </row>
    <row r="238" spans="1:5" x14ac:dyDescent="0.3">
      <c r="A238" s="18">
        <v>227</v>
      </c>
      <c r="B238" s="19">
        <v>113065.68</v>
      </c>
      <c r="C238" s="20">
        <v>350.77047545502148</v>
      </c>
      <c r="D238" s="19">
        <v>1263.07</v>
      </c>
      <c r="E238" s="18">
        <v>159407.91935027298</v>
      </c>
    </row>
    <row r="239" spans="1:5" x14ac:dyDescent="0.3">
      <c r="A239" s="18">
        <v>228</v>
      </c>
      <c r="B239" s="19">
        <v>111798.73</v>
      </c>
      <c r="C239" s="20">
        <v>346.89526764917235</v>
      </c>
      <c r="D239" s="19">
        <v>1266.95</v>
      </c>
      <c r="E239" s="18">
        <v>159754.81461792215</v>
      </c>
    </row>
    <row r="240" spans="1:5" x14ac:dyDescent="0.3">
      <c r="A240" s="21">
        <v>229</v>
      </c>
      <c r="B240" s="22">
        <v>110527.9</v>
      </c>
      <c r="C240" s="23">
        <v>343.0081556683474</v>
      </c>
      <c r="D240" s="22">
        <v>1270.83</v>
      </c>
      <c r="E240" s="21">
        <v>160097.82277359051</v>
      </c>
    </row>
    <row r="241" spans="1:5" x14ac:dyDescent="0.3">
      <c r="A241" s="21">
        <v>230</v>
      </c>
      <c r="B241" s="22">
        <v>109253.17</v>
      </c>
      <c r="C241" s="23">
        <v>339.10913951254668</v>
      </c>
      <c r="D241" s="22">
        <v>1274.73</v>
      </c>
      <c r="E241" s="21">
        <v>160436.93191310306</v>
      </c>
    </row>
    <row r="242" spans="1:5" x14ac:dyDescent="0.3">
      <c r="A242" s="21">
        <v>231</v>
      </c>
      <c r="B242" s="22">
        <v>107974.53</v>
      </c>
      <c r="C242" s="23">
        <v>335.19815782004343</v>
      </c>
      <c r="D242" s="22">
        <v>1278.6400000000001</v>
      </c>
      <c r="E242" s="21">
        <v>160772.1300709231</v>
      </c>
    </row>
    <row r="243" spans="1:5" x14ac:dyDescent="0.3">
      <c r="A243" s="21">
        <v>232</v>
      </c>
      <c r="B243" s="22">
        <v>106691.96</v>
      </c>
      <c r="C243" s="23">
        <v>331.27517990997433</v>
      </c>
      <c r="D243" s="22">
        <v>1282.57</v>
      </c>
      <c r="E243" s="21">
        <v>161103.40525083308</v>
      </c>
    </row>
    <row r="244" spans="1:5" x14ac:dyDescent="0.3">
      <c r="A244" s="21">
        <v>233</v>
      </c>
      <c r="B244" s="22">
        <v>105405.46</v>
      </c>
      <c r="C244" s="23">
        <v>327.34014442061277</v>
      </c>
      <c r="D244" s="22">
        <v>1286.5</v>
      </c>
      <c r="E244" s="21">
        <v>161430.7453952537</v>
      </c>
    </row>
    <row r="245" spans="1:5" x14ac:dyDescent="0.3">
      <c r="A245" s="21">
        <v>234</v>
      </c>
      <c r="B245" s="22">
        <v>104115.01</v>
      </c>
      <c r="C245" s="23">
        <v>323.39305135195872</v>
      </c>
      <c r="D245" s="22">
        <v>1290.45</v>
      </c>
      <c r="E245" s="21">
        <v>161754.13844660565</v>
      </c>
    </row>
    <row r="246" spans="1:5" x14ac:dyDescent="0.3">
      <c r="A246" s="21">
        <v>235</v>
      </c>
      <c r="B246" s="22">
        <v>102820.6</v>
      </c>
      <c r="C246" s="23">
        <v>319.43383934228541</v>
      </c>
      <c r="D246" s="22">
        <v>1294.4100000000001</v>
      </c>
      <c r="E246" s="21">
        <v>162073.57228594794</v>
      </c>
    </row>
    <row r="247" spans="1:5" x14ac:dyDescent="0.3">
      <c r="A247" s="21">
        <v>236</v>
      </c>
      <c r="B247" s="22">
        <v>101522.22</v>
      </c>
      <c r="C247" s="23">
        <v>315.46247771072962</v>
      </c>
      <c r="D247" s="22">
        <v>1298.3800000000001</v>
      </c>
      <c r="E247" s="21">
        <v>162389.03476365868</v>
      </c>
    </row>
    <row r="248" spans="1:5" x14ac:dyDescent="0.3">
      <c r="A248" s="21">
        <v>237</v>
      </c>
      <c r="B248" s="22">
        <v>100219.86</v>
      </c>
      <c r="C248" s="23">
        <v>311.47893577642799</v>
      </c>
      <c r="D248" s="22">
        <v>1302.3599999999999</v>
      </c>
      <c r="E248" s="21">
        <v>162700.51369943511</v>
      </c>
    </row>
    <row r="249" spans="1:5" x14ac:dyDescent="0.3">
      <c r="A249" s="21">
        <v>238</v>
      </c>
      <c r="B249" s="22">
        <v>98913.5</v>
      </c>
      <c r="C249" s="23">
        <v>307.48318285851713</v>
      </c>
      <c r="D249" s="22">
        <v>1306.3599999999999</v>
      </c>
      <c r="E249" s="21">
        <v>163007.99688229364</v>
      </c>
    </row>
    <row r="250" spans="1:5" x14ac:dyDescent="0.3">
      <c r="A250" s="21">
        <v>239</v>
      </c>
      <c r="B250" s="22">
        <v>97603.13</v>
      </c>
      <c r="C250" s="23">
        <v>303.47515759527039</v>
      </c>
      <c r="D250" s="22">
        <v>1310.3699999999999</v>
      </c>
      <c r="E250" s="21">
        <v>163311.4720398889</v>
      </c>
    </row>
    <row r="251" spans="1:5" x14ac:dyDescent="0.3">
      <c r="A251" s="21">
        <v>240</v>
      </c>
      <c r="B251" s="22">
        <v>96288.74</v>
      </c>
      <c r="C251" s="23">
        <v>299.45482930582438</v>
      </c>
      <c r="D251" s="22">
        <v>1314.39</v>
      </c>
      <c r="E251" s="21">
        <v>163610.92686919472</v>
      </c>
    </row>
    <row r="252" spans="1:5" x14ac:dyDescent="0.3">
      <c r="A252" s="18">
        <v>241</v>
      </c>
      <c r="B252" s="19">
        <v>94970.32</v>
      </c>
      <c r="C252" s="20">
        <v>295.42216730931585</v>
      </c>
      <c r="D252" s="19">
        <v>1318.42</v>
      </c>
      <c r="E252" s="18">
        <v>163906.34903650405</v>
      </c>
    </row>
    <row r="253" spans="1:5" x14ac:dyDescent="0.3">
      <c r="A253" s="18">
        <v>242</v>
      </c>
      <c r="B253" s="19">
        <v>93647.85</v>
      </c>
      <c r="C253" s="20">
        <v>291.37714092488142</v>
      </c>
      <c r="D253" s="19">
        <v>1322.47</v>
      </c>
      <c r="E253" s="18">
        <v>164197.72617742894</v>
      </c>
    </row>
    <row r="254" spans="1:5" x14ac:dyDescent="0.3">
      <c r="A254" s="18">
        <v>243</v>
      </c>
      <c r="B254" s="19">
        <v>92321.33</v>
      </c>
      <c r="C254" s="20">
        <v>287.31968879079437</v>
      </c>
      <c r="D254" s="19">
        <v>1326.52</v>
      </c>
      <c r="E254" s="18">
        <v>164485.04586621973</v>
      </c>
    </row>
    <row r="255" spans="1:5" x14ac:dyDescent="0.3">
      <c r="A255" s="18">
        <v>244</v>
      </c>
      <c r="B255" s="19">
        <v>90990.74</v>
      </c>
      <c r="C255" s="20">
        <v>283.24981090705478</v>
      </c>
      <c r="D255" s="19">
        <v>1330.59</v>
      </c>
      <c r="E255" s="18">
        <v>164768.29567712679</v>
      </c>
    </row>
    <row r="256" spans="1:5" x14ac:dyDescent="0.3">
      <c r="A256" s="18">
        <v>245</v>
      </c>
      <c r="B256" s="19">
        <v>89656.06</v>
      </c>
      <c r="C256" s="20">
        <v>279.16744591193589</v>
      </c>
      <c r="D256" s="19">
        <v>1334.68</v>
      </c>
      <c r="E256" s="18">
        <v>165047.46312303873</v>
      </c>
    </row>
    <row r="257" spans="1:5" x14ac:dyDescent="0.3">
      <c r="A257" s="18">
        <v>246</v>
      </c>
      <c r="B257" s="19">
        <v>88317.29</v>
      </c>
      <c r="C257" s="20">
        <v>275.07253244371105</v>
      </c>
      <c r="D257" s="19">
        <v>1338.77</v>
      </c>
      <c r="E257" s="18">
        <v>165322.53565548244</v>
      </c>
    </row>
    <row r="258" spans="1:5" x14ac:dyDescent="0.3">
      <c r="A258" s="18">
        <v>247</v>
      </c>
      <c r="B258" s="19">
        <v>86974.41</v>
      </c>
      <c r="C258" s="20">
        <v>270.96507050238034</v>
      </c>
      <c r="D258" s="19">
        <v>1342.88</v>
      </c>
      <c r="E258" s="18">
        <v>165593.50072598481</v>
      </c>
    </row>
    <row r="259" spans="1:5" x14ac:dyDescent="0.3">
      <c r="A259" s="18">
        <v>248</v>
      </c>
      <c r="B259" s="19">
        <v>85627.41</v>
      </c>
      <c r="C259" s="20">
        <v>266.84499872621694</v>
      </c>
      <c r="D259" s="19">
        <v>1347</v>
      </c>
      <c r="E259" s="18">
        <v>165860.34572471102</v>
      </c>
    </row>
    <row r="260" spans="1:5" x14ac:dyDescent="0.3">
      <c r="A260" s="18">
        <v>249</v>
      </c>
      <c r="B260" s="19">
        <v>84276.28</v>
      </c>
      <c r="C260" s="20">
        <v>262.71228643435757</v>
      </c>
      <c r="D260" s="19">
        <v>1351.13</v>
      </c>
      <c r="E260" s="18">
        <v>166123.05801114539</v>
      </c>
    </row>
    <row r="261" spans="1:5" x14ac:dyDescent="0.3">
      <c r="A261" s="18">
        <v>250</v>
      </c>
      <c r="B261" s="19">
        <v>82921</v>
      </c>
      <c r="C261" s="20">
        <v>258.56690294593892</v>
      </c>
      <c r="D261" s="19">
        <v>1355.28</v>
      </c>
      <c r="E261" s="18">
        <v>166381.62491409134</v>
      </c>
    </row>
    <row r="262" spans="1:5" x14ac:dyDescent="0.3">
      <c r="A262" s="18">
        <v>251</v>
      </c>
      <c r="B262" s="19">
        <v>81561.570000000007</v>
      </c>
      <c r="C262" s="20">
        <v>254.40878689923431</v>
      </c>
      <c r="D262" s="19">
        <v>1359.43</v>
      </c>
      <c r="E262" s="18">
        <v>166636.03370099058</v>
      </c>
    </row>
    <row r="263" spans="1:5" x14ac:dyDescent="0.3">
      <c r="A263" s="18">
        <v>252</v>
      </c>
      <c r="B263" s="19">
        <v>80197.97</v>
      </c>
      <c r="C263" s="20">
        <v>250.23793829424372</v>
      </c>
      <c r="D263" s="19">
        <v>1363.6</v>
      </c>
      <c r="E263" s="18">
        <v>166886.27163928482</v>
      </c>
    </row>
    <row r="264" spans="1:5" x14ac:dyDescent="0.3">
      <c r="A264" s="21">
        <v>253</v>
      </c>
      <c r="B264" s="22">
        <v>78830.179999999993</v>
      </c>
      <c r="C264" s="23">
        <v>246.05429576924044</v>
      </c>
      <c r="D264" s="22">
        <v>1367.79</v>
      </c>
      <c r="E264" s="21">
        <v>167132.32593505408</v>
      </c>
    </row>
    <row r="265" spans="1:5" x14ac:dyDescent="0.3">
      <c r="A265" s="21">
        <v>254</v>
      </c>
      <c r="B265" s="22">
        <v>77458.2</v>
      </c>
      <c r="C265" s="23">
        <v>241.85779796249784</v>
      </c>
      <c r="D265" s="22">
        <v>1371.98</v>
      </c>
      <c r="E265" s="21">
        <v>167374.18373301657</v>
      </c>
    </row>
    <row r="266" spans="1:5" x14ac:dyDescent="0.3">
      <c r="A266" s="21">
        <v>255</v>
      </c>
      <c r="B266" s="22">
        <v>76082.009999999995</v>
      </c>
      <c r="C266" s="23">
        <v>237.64844487401589</v>
      </c>
      <c r="D266" s="22">
        <v>1376.19</v>
      </c>
      <c r="E266" s="21">
        <v>167611.83217789058</v>
      </c>
    </row>
    <row r="267" spans="1:5" x14ac:dyDescent="0.3">
      <c r="A267" s="21">
        <v>256</v>
      </c>
      <c r="B267" s="22">
        <v>74701.59</v>
      </c>
      <c r="C267" s="23">
        <v>233.42617514206793</v>
      </c>
      <c r="D267" s="22">
        <v>1380.42</v>
      </c>
      <c r="E267" s="21">
        <v>167845.25835303264</v>
      </c>
    </row>
    <row r="268" spans="1:5" x14ac:dyDescent="0.3">
      <c r="A268" s="21">
        <v>257</v>
      </c>
      <c r="B268" s="22">
        <v>73316.94</v>
      </c>
      <c r="C268" s="23">
        <v>229.19092740492727</v>
      </c>
      <c r="D268" s="22">
        <v>1384.65</v>
      </c>
      <c r="E268" s="21">
        <v>168074.44928043758</v>
      </c>
    </row>
    <row r="269" spans="1:5" x14ac:dyDescent="0.3">
      <c r="A269" s="21">
        <v>258</v>
      </c>
      <c r="B269" s="22">
        <v>71928.039999999994</v>
      </c>
      <c r="C269" s="23">
        <v>224.94270166259389</v>
      </c>
      <c r="D269" s="22">
        <v>1388.9</v>
      </c>
      <c r="E269" s="21">
        <v>168299.39198210018</v>
      </c>
    </row>
    <row r="270" spans="1:5" x14ac:dyDescent="0.3">
      <c r="A270" s="21">
        <v>259</v>
      </c>
      <c r="B270" s="22">
        <v>70534.880000000005</v>
      </c>
      <c r="C270" s="23">
        <v>220.68143655334114</v>
      </c>
      <c r="D270" s="22">
        <v>1393.16</v>
      </c>
      <c r="E270" s="21">
        <v>168520.07341865351</v>
      </c>
    </row>
    <row r="271" spans="1:5" x14ac:dyDescent="0.3">
      <c r="A271" s="21">
        <v>260</v>
      </c>
      <c r="B271" s="22">
        <v>69137.440000000002</v>
      </c>
      <c r="C271" s="23">
        <v>216.40710139630571</v>
      </c>
      <c r="D271" s="22">
        <v>1397.44</v>
      </c>
      <c r="E271" s="21">
        <v>168736.48052004981</v>
      </c>
    </row>
    <row r="272" spans="1:5" x14ac:dyDescent="0.3">
      <c r="A272" s="21">
        <v>261</v>
      </c>
      <c r="B272" s="22">
        <v>67735.72</v>
      </c>
      <c r="C272" s="23">
        <v>212.11963482976086</v>
      </c>
      <c r="D272" s="22">
        <v>1401.72</v>
      </c>
      <c r="E272" s="21">
        <v>168948.60015487956</v>
      </c>
    </row>
    <row r="273" spans="1:5" x14ac:dyDescent="0.3">
      <c r="A273" s="21">
        <v>262</v>
      </c>
      <c r="B273" s="22">
        <v>66329.7</v>
      </c>
      <c r="C273" s="23">
        <v>207.81903685370659</v>
      </c>
      <c r="D273" s="22">
        <v>1406.02</v>
      </c>
      <c r="E273" s="21">
        <v>169156.41919173326</v>
      </c>
    </row>
    <row r="274" spans="1:5" x14ac:dyDescent="0.3">
      <c r="A274" s="21">
        <v>263</v>
      </c>
      <c r="B274" s="22">
        <v>64919.360000000001</v>
      </c>
      <c r="C274" s="23">
        <v>203.50524610641625</v>
      </c>
      <c r="D274" s="22">
        <v>1410.34</v>
      </c>
      <c r="E274" s="21">
        <v>169359.92443783968</v>
      </c>
    </row>
    <row r="275" spans="1:5" x14ac:dyDescent="0.3">
      <c r="A275" s="21">
        <v>264</v>
      </c>
      <c r="B275" s="22">
        <v>63504.7</v>
      </c>
      <c r="C275" s="23">
        <v>199.17820122616317</v>
      </c>
      <c r="D275" s="22">
        <v>1414.66</v>
      </c>
      <c r="E275" s="21">
        <v>169559.10263906585</v>
      </c>
    </row>
    <row r="276" spans="1:5" x14ac:dyDescent="0.3">
      <c r="A276" s="18">
        <v>265</v>
      </c>
      <c r="B276" s="19">
        <v>62085.7</v>
      </c>
      <c r="C276" s="20">
        <v>194.83790221294734</v>
      </c>
      <c r="D276" s="19">
        <v>1419</v>
      </c>
      <c r="E276" s="18">
        <v>169753.9405412788</v>
      </c>
    </row>
    <row r="277" spans="1:5" x14ac:dyDescent="0.3">
      <c r="A277" s="18">
        <v>266</v>
      </c>
      <c r="B277" s="19">
        <v>60662.34</v>
      </c>
      <c r="C277" s="20">
        <v>190.48428770504205</v>
      </c>
      <c r="D277" s="19">
        <v>1423.36</v>
      </c>
      <c r="E277" s="18">
        <v>169944.42482898384</v>
      </c>
    </row>
    <row r="278" spans="1:5" x14ac:dyDescent="0.3">
      <c r="A278" s="18">
        <v>267</v>
      </c>
      <c r="B278" s="19">
        <v>59234.61</v>
      </c>
      <c r="C278" s="20">
        <v>186.11729634072066</v>
      </c>
      <c r="D278" s="19">
        <v>1427.73</v>
      </c>
      <c r="E278" s="18">
        <v>170130.54212532457</v>
      </c>
    </row>
    <row r="279" spans="1:5" x14ac:dyDescent="0.3">
      <c r="A279" s="18">
        <v>268</v>
      </c>
      <c r="B279" s="19">
        <v>57802.5</v>
      </c>
      <c r="C279" s="20">
        <v>181.73689743911982</v>
      </c>
      <c r="D279" s="19">
        <v>1432.11</v>
      </c>
      <c r="E279" s="18">
        <v>170312.27902276369</v>
      </c>
    </row>
    <row r="280" spans="1:5" x14ac:dyDescent="0.3">
      <c r="A280" s="18">
        <v>269</v>
      </c>
      <c r="B280" s="19">
        <v>56366</v>
      </c>
      <c r="C280" s="20">
        <v>177.34306031937618</v>
      </c>
      <c r="D280" s="19">
        <v>1436.5</v>
      </c>
      <c r="E280" s="18">
        <v>170489.62208308306</v>
      </c>
    </row>
    <row r="281" spans="1:5" x14ac:dyDescent="0.3">
      <c r="A281" s="18">
        <v>270</v>
      </c>
      <c r="B281" s="19">
        <v>54925.09</v>
      </c>
      <c r="C281" s="20">
        <v>172.9357543006264</v>
      </c>
      <c r="D281" s="19">
        <v>1440.91</v>
      </c>
      <c r="E281" s="18">
        <v>170662.55783738368</v>
      </c>
    </row>
    <row r="282" spans="1:5" x14ac:dyDescent="0.3">
      <c r="A282" s="18">
        <v>271</v>
      </c>
      <c r="B282" s="19">
        <v>53479.76</v>
      </c>
      <c r="C282" s="20">
        <v>168.51491802114381</v>
      </c>
      <c r="D282" s="19">
        <v>1445.33</v>
      </c>
      <c r="E282" s="18">
        <v>170831.07275540481</v>
      </c>
    </row>
    <row r="283" spans="1:5" x14ac:dyDescent="0.3">
      <c r="A283" s="18">
        <v>272</v>
      </c>
      <c r="B283" s="19">
        <v>52030</v>
      </c>
      <c r="C283" s="20">
        <v>164.08052080006507</v>
      </c>
      <c r="D283" s="19">
        <v>1449.76</v>
      </c>
      <c r="E283" s="18">
        <v>170995.15327620486</v>
      </c>
    </row>
    <row r="284" spans="1:5" x14ac:dyDescent="0.3">
      <c r="A284" s="18">
        <v>273</v>
      </c>
      <c r="B284" s="19">
        <v>50575.79</v>
      </c>
      <c r="C284" s="20">
        <v>159.63253195652683</v>
      </c>
      <c r="D284" s="19">
        <v>1454.21</v>
      </c>
      <c r="E284" s="18">
        <v>171154.7858081614</v>
      </c>
    </row>
    <row r="285" spans="1:5" x14ac:dyDescent="0.3">
      <c r="A285" s="18">
        <v>274</v>
      </c>
      <c r="B285" s="19">
        <v>49117.120000000003</v>
      </c>
      <c r="C285" s="20">
        <v>155.17089012880243</v>
      </c>
      <c r="D285" s="19">
        <v>1458.67</v>
      </c>
      <c r="E285" s="18">
        <v>171309.95669829019</v>
      </c>
    </row>
    <row r="286" spans="1:5" x14ac:dyDescent="0.3">
      <c r="A286" s="18">
        <v>275</v>
      </c>
      <c r="B286" s="19">
        <v>47653.97</v>
      </c>
      <c r="C286" s="20">
        <v>150.69556463602851</v>
      </c>
      <c r="D286" s="19">
        <v>1463.15</v>
      </c>
      <c r="E286" s="18">
        <v>171460.65226292622</v>
      </c>
    </row>
    <row r="287" spans="1:5" x14ac:dyDescent="0.3">
      <c r="A287" s="18">
        <v>276</v>
      </c>
      <c r="B287" s="19">
        <v>46186.33</v>
      </c>
      <c r="C287" s="20">
        <v>146.20649411647841</v>
      </c>
      <c r="D287" s="19">
        <v>1467.64</v>
      </c>
      <c r="E287" s="18">
        <v>171606.8587570427</v>
      </c>
    </row>
    <row r="288" spans="1:5" x14ac:dyDescent="0.3">
      <c r="A288" s="21">
        <v>277</v>
      </c>
      <c r="B288" s="22">
        <v>44714.19</v>
      </c>
      <c r="C288" s="23">
        <v>141.70364788928876</v>
      </c>
      <c r="D288" s="22">
        <v>1472.14</v>
      </c>
      <c r="E288" s="21">
        <v>171748.56240493199</v>
      </c>
    </row>
    <row r="289" spans="1:5" x14ac:dyDescent="0.3">
      <c r="A289" s="21">
        <v>278</v>
      </c>
      <c r="B289" s="22">
        <v>43237.53</v>
      </c>
      <c r="C289" s="23">
        <v>137.18699527359624</v>
      </c>
      <c r="D289" s="22">
        <v>1476.66</v>
      </c>
      <c r="E289" s="21">
        <v>171885.74940020559</v>
      </c>
    </row>
    <row r="290" spans="1:5" x14ac:dyDescent="0.3">
      <c r="A290" s="21">
        <v>279</v>
      </c>
      <c r="B290" s="22">
        <v>41756.339999999997</v>
      </c>
      <c r="C290" s="23">
        <v>132.65647490767418</v>
      </c>
      <c r="D290" s="22">
        <v>1481.19</v>
      </c>
      <c r="E290" s="21">
        <v>172018.40587511327</v>
      </c>
    </row>
    <row r="291" spans="1:5" x14ac:dyDescent="0.3">
      <c r="A291" s="21">
        <v>280</v>
      </c>
      <c r="B291" s="22">
        <v>40270.61</v>
      </c>
      <c r="C291" s="23">
        <v>128.11205611065924</v>
      </c>
      <c r="D291" s="22">
        <v>1485.73</v>
      </c>
      <c r="E291" s="21">
        <v>172146.51793122393</v>
      </c>
    </row>
    <row r="292" spans="1:5" x14ac:dyDescent="0.3">
      <c r="A292" s="21">
        <v>281</v>
      </c>
      <c r="B292" s="22">
        <v>38780.32</v>
      </c>
      <c r="C292" s="23">
        <v>123.55370820168805</v>
      </c>
      <c r="D292" s="22">
        <v>1490.29</v>
      </c>
      <c r="E292" s="21">
        <v>172270.07163942562</v>
      </c>
    </row>
    <row r="293" spans="1:5" x14ac:dyDescent="0.3">
      <c r="A293" s="21">
        <v>282</v>
      </c>
      <c r="B293" s="22">
        <v>37285.46</v>
      </c>
      <c r="C293" s="23">
        <v>118.98136981903396</v>
      </c>
      <c r="D293" s="22">
        <v>1494.86</v>
      </c>
      <c r="E293" s="21">
        <v>172389.05300924464</v>
      </c>
    </row>
    <row r="294" spans="1:5" x14ac:dyDescent="0.3">
      <c r="A294" s="21">
        <v>283</v>
      </c>
      <c r="B294" s="22">
        <v>35786.01</v>
      </c>
      <c r="C294" s="23">
        <v>114.39501028183362</v>
      </c>
      <c r="D294" s="22">
        <v>1499.45</v>
      </c>
      <c r="E294" s="21">
        <v>172503.44801952646</v>
      </c>
    </row>
    <row r="295" spans="1:5" x14ac:dyDescent="0.3">
      <c r="A295" s="21">
        <v>284</v>
      </c>
      <c r="B295" s="22">
        <v>34281.96</v>
      </c>
      <c r="C295" s="23">
        <v>109.79456822836035</v>
      </c>
      <c r="D295" s="22">
        <v>1504.05</v>
      </c>
      <c r="E295" s="21">
        <v>172613.24258775482</v>
      </c>
    </row>
    <row r="296" spans="1:5" x14ac:dyDescent="0.3">
      <c r="A296" s="21">
        <v>285</v>
      </c>
      <c r="B296" s="22">
        <v>32773.300000000003</v>
      </c>
      <c r="C296" s="23">
        <v>105.18001297775081</v>
      </c>
      <c r="D296" s="22">
        <v>1508.66</v>
      </c>
      <c r="E296" s="21">
        <v>172718.42260073256</v>
      </c>
    </row>
    <row r="297" spans="1:5" x14ac:dyDescent="0.3">
      <c r="A297" s="21">
        <v>286</v>
      </c>
      <c r="B297" s="22">
        <v>31260.01</v>
      </c>
      <c r="C297" s="23">
        <v>100.55131384914166</v>
      </c>
      <c r="D297" s="22">
        <v>1513.29</v>
      </c>
      <c r="E297" s="21">
        <v>172818.9739145817</v>
      </c>
    </row>
    <row r="298" spans="1:5" x14ac:dyDescent="0.3">
      <c r="A298" s="21">
        <v>287</v>
      </c>
      <c r="B298" s="22">
        <v>29742.080000000002</v>
      </c>
      <c r="C298" s="23">
        <v>95.908409480806228</v>
      </c>
      <c r="D298" s="22">
        <v>1517.93</v>
      </c>
      <c r="E298" s="21">
        <v>172914.88232406252</v>
      </c>
    </row>
    <row r="299" spans="1:5" x14ac:dyDescent="0.3">
      <c r="A299" s="21">
        <v>288</v>
      </c>
      <c r="B299" s="22">
        <v>28219.49</v>
      </c>
      <c r="C299" s="23">
        <v>91.251269191881178</v>
      </c>
      <c r="D299" s="22">
        <v>1522.59</v>
      </c>
      <c r="E299" s="21">
        <v>173006.1335932544</v>
      </c>
    </row>
    <row r="300" spans="1:5" x14ac:dyDescent="0.3">
      <c r="A300" s="18">
        <v>289</v>
      </c>
      <c r="B300" s="19">
        <v>26692.23</v>
      </c>
      <c r="C300" s="20">
        <v>86.579831620639808</v>
      </c>
      <c r="D300" s="19">
        <v>1527.26</v>
      </c>
      <c r="E300" s="18">
        <v>173092.71342487505</v>
      </c>
    </row>
    <row r="301" spans="1:5" x14ac:dyDescent="0.3">
      <c r="A301" s="18">
        <v>290</v>
      </c>
      <c r="B301" s="19">
        <v>25160.28</v>
      </c>
      <c r="C301" s="20">
        <v>81.8940660862188</v>
      </c>
      <c r="D301" s="19">
        <v>1531.95</v>
      </c>
      <c r="E301" s="18">
        <v>173174.60749096127</v>
      </c>
    </row>
    <row r="302" spans="1:5" x14ac:dyDescent="0.3">
      <c r="A302" s="18">
        <v>291</v>
      </c>
      <c r="B302" s="19">
        <v>23623.63</v>
      </c>
      <c r="C302" s="20">
        <v>77.193911226891473</v>
      </c>
      <c r="D302" s="19">
        <v>1536.65</v>
      </c>
      <c r="E302" s="18">
        <v>173251.80140218817</v>
      </c>
    </row>
    <row r="303" spans="1:5" x14ac:dyDescent="0.3">
      <c r="A303" s="18">
        <v>292</v>
      </c>
      <c r="B303" s="19">
        <v>22082.27</v>
      </c>
      <c r="C303" s="20">
        <v>72.479336361794466</v>
      </c>
      <c r="D303" s="19">
        <v>1541.36</v>
      </c>
      <c r="E303" s="18">
        <v>173324.28073854998</v>
      </c>
    </row>
    <row r="304" spans="1:5" x14ac:dyDescent="0.3">
      <c r="A304" s="18">
        <v>293</v>
      </c>
      <c r="B304" s="19">
        <v>20536.18</v>
      </c>
      <c r="C304" s="20">
        <v>67.750310810064462</v>
      </c>
      <c r="D304" s="19">
        <v>1546.09</v>
      </c>
      <c r="E304" s="18">
        <v>173392.03104936003</v>
      </c>
    </row>
    <row r="305" spans="1:5" x14ac:dyDescent="0.3">
      <c r="A305" s="18">
        <v>294</v>
      </c>
      <c r="B305" s="19">
        <v>18985.34</v>
      </c>
      <c r="C305" s="20">
        <v>63.006773209974767</v>
      </c>
      <c r="D305" s="19">
        <v>1550.84</v>
      </c>
      <c r="E305" s="18">
        <v>173455.03782257001</v>
      </c>
    </row>
    <row r="306" spans="1:5" x14ac:dyDescent="0.3">
      <c r="A306" s="18">
        <v>295</v>
      </c>
      <c r="B306" s="19">
        <v>17429.75</v>
      </c>
      <c r="C306" s="20">
        <v>58.248662199798716</v>
      </c>
      <c r="D306" s="19">
        <v>1555.59</v>
      </c>
      <c r="E306" s="18">
        <v>173513.28648476981</v>
      </c>
    </row>
    <row r="307" spans="1:5" x14ac:dyDescent="0.3">
      <c r="A307" s="18">
        <v>296</v>
      </c>
      <c r="B307" s="19">
        <v>15869.38</v>
      </c>
      <c r="C307" s="20">
        <v>53.475977779536301</v>
      </c>
      <c r="D307" s="19">
        <v>1560.37</v>
      </c>
      <c r="E307" s="18">
        <v>173566.76246254935</v>
      </c>
    </row>
    <row r="308" spans="1:5" x14ac:dyDescent="0.3">
      <c r="A308" s="18">
        <v>297</v>
      </c>
      <c r="B308" s="19">
        <v>14304.23</v>
      </c>
      <c r="C308" s="20">
        <v>48.688627906597496</v>
      </c>
      <c r="D308" s="19">
        <v>1565.15</v>
      </c>
      <c r="E308" s="18">
        <v>173615.45109045596</v>
      </c>
    </row>
    <row r="309" spans="1:5" x14ac:dyDescent="0.3">
      <c r="A309" s="18">
        <v>298</v>
      </c>
      <c r="B309" s="19">
        <v>12734.27</v>
      </c>
      <c r="C309" s="20">
        <v>43.886612580982316</v>
      </c>
      <c r="D309" s="19">
        <v>1569.96</v>
      </c>
      <c r="E309" s="18">
        <v>173659.33770303693</v>
      </c>
    </row>
    <row r="310" spans="1:5" x14ac:dyDescent="0.3">
      <c r="A310" s="18">
        <v>299</v>
      </c>
      <c r="B310" s="19">
        <v>11159.5</v>
      </c>
      <c r="C310" s="20">
        <v>39.069839760100727</v>
      </c>
      <c r="D310" s="19">
        <v>1574.77</v>
      </c>
      <c r="E310" s="18">
        <v>173698.40754279704</v>
      </c>
    </row>
    <row r="311" spans="1:5" x14ac:dyDescent="0.3">
      <c r="A311" s="18">
        <v>300</v>
      </c>
      <c r="B311" s="19">
        <v>9579.9</v>
      </c>
      <c r="C311" s="20">
        <v>34.238309443952744</v>
      </c>
      <c r="D311" s="19">
        <v>1579.6</v>
      </c>
      <c r="E311" s="18">
        <v>173732.645852241</v>
      </c>
    </row>
    <row r="312" spans="1:5" x14ac:dyDescent="0.3">
      <c r="A312" s="18">
        <v>301</v>
      </c>
      <c r="B312" s="19">
        <v>7995.45</v>
      </c>
      <c r="C312" s="20">
        <v>29.391960270811673</v>
      </c>
      <c r="D312" s="19">
        <v>1584.45</v>
      </c>
      <c r="E312" s="18">
        <v>173762.03781251181</v>
      </c>
    </row>
    <row r="313" spans="1:5" x14ac:dyDescent="0.3">
      <c r="A313">
        <v>302</v>
      </c>
      <c r="B313" s="31">
        <v>6406.14</v>
      </c>
      <c r="C313" s="14">
        <v>24.530730878950845</v>
      </c>
      <c r="D313" s="31">
        <v>1589.31</v>
      </c>
      <c r="E313">
        <v>173786.56854339078</v>
      </c>
    </row>
    <row r="314" spans="1:5" x14ac:dyDescent="0.3">
      <c r="A314">
        <v>303</v>
      </c>
      <c r="B314" s="31">
        <v>4811.95</v>
      </c>
      <c r="C314" s="14">
        <v>19.654590587506917</v>
      </c>
      <c r="D314" s="31">
        <v>1594.19</v>
      </c>
      <c r="E314">
        <v>173806.22313397829</v>
      </c>
    </row>
    <row r="315" spans="1:5" x14ac:dyDescent="0.3">
      <c r="A315">
        <v>304</v>
      </c>
      <c r="B315" s="31">
        <v>3212.87</v>
      </c>
      <c r="C315" s="14">
        <v>14.763478034753206</v>
      </c>
      <c r="D315" s="31">
        <v>1599.08</v>
      </c>
      <c r="E315">
        <v>173820.98661201305</v>
      </c>
    </row>
    <row r="316" spans="1:5" x14ac:dyDescent="0.3">
      <c r="A316">
        <v>305</v>
      </c>
      <c r="B316" s="31">
        <v>1608.88</v>
      </c>
      <c r="C316" s="14">
        <v>9.8573625398263758</v>
      </c>
      <c r="D316" s="31">
        <v>1603.99</v>
      </c>
      <c r="E316">
        <v>173830.84397455287</v>
      </c>
    </row>
    <row r="317" spans="1:5" x14ac:dyDescent="0.3">
      <c r="A317">
        <v>306</v>
      </c>
      <c r="B317" s="31">
        <v>-0.03</v>
      </c>
      <c r="C317" s="14">
        <v>4.9361827409997483</v>
      </c>
      <c r="D317" s="31">
        <v>1608.91</v>
      </c>
      <c r="E317">
        <v>173835.78015729386</v>
      </c>
    </row>
  </sheetData>
  <mergeCells count="4">
    <mergeCell ref="F2:G2"/>
    <mergeCell ref="A1:E2"/>
    <mergeCell ref="A10:E10"/>
    <mergeCell ref="F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Payment_Details">
                <anchor moveWithCells="1" sizeWithCells="1">
                  <from>
                    <xdr:col>6</xdr:col>
                    <xdr:colOff>0</xdr:colOff>
                    <xdr:row>9</xdr:row>
                    <xdr:rowOff>152400</xdr:rowOff>
                  </from>
                  <to>
                    <xdr:col>7</xdr:col>
                    <xdr:colOff>487680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Mortgage_Calculator</vt:lpstr>
      <vt:lpstr>Sheet2</vt:lpstr>
      <vt:lpstr>Sheet3</vt:lpstr>
    </vt:vector>
  </TitlesOfParts>
  <Company>Cisco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Ersoy</dc:creator>
  <cp:lastModifiedBy>kersoy</cp:lastModifiedBy>
  <dcterms:created xsi:type="dcterms:W3CDTF">2011-06-23T21:47:21Z</dcterms:created>
  <dcterms:modified xsi:type="dcterms:W3CDTF">2016-08-16T15:55:59Z</dcterms:modified>
</cp:coreProperties>
</file>